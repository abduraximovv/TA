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Operating Costs" sheetId="3" state="visible" r:id="rId5"/>
    <sheet name="One-off C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<sst xmlns="http://schemas.openxmlformats.org/spreadsheetml/2006/main" count="107" uniqueCount="100">
  <si>
    <t xml:space="preserve">How much do we need?</t>
  </si>
  <si>
    <t xml:space="preserve">Active scenario is set on the Assumptions sheet.</t>
  </si>
  <si>
    <t xml:space="preserve">REQUIREMENT BY RUNWAY LENGTH</t>
  </si>
  <si>
    <t xml:space="preserve">12 months</t>
  </si>
  <si>
    <t xml:space="preserve">24 months</t>
  </si>
  <si>
    <t xml:space="preserve">36 months</t>
  </si>
  <si>
    <t xml:space="preserve">Note</t>
  </si>
  <si>
    <t xml:space="preserve">Founder stipends</t>
  </si>
  <si>
    <t xml:space="preserve">Infrastructure &amp; tools</t>
  </si>
  <si>
    <t xml:space="preserve">One-off &amp; periodic</t>
  </si>
  <si>
    <t xml:space="preserve">Subtotal</t>
  </si>
  <si>
    <t xml:space="preserve">Contingency buffer</t>
  </si>
  <si>
    <t xml:space="preserve">TOTAL REQUIREMENT</t>
  </si>
  <si>
    <t xml:space="preserve">This is the number to put on the ask slide.</t>
  </si>
  <si>
    <t xml:space="preserve">Monthly burn rate</t>
  </si>
  <si>
    <t xml:space="preserve">Excludes one-off items.</t>
  </si>
  <si>
    <t xml:space="preserve">Months of runway from $10,000</t>
  </si>
  <si>
    <t xml:space="preserve">What the current offer on the table actually buys.</t>
  </si>
  <si>
    <t xml:space="preserve">Months of runway from $30,000</t>
  </si>
  <si>
    <t xml:space="preserve">Months of runway from $40,000 (IT Park grant)</t>
  </si>
  <si>
    <t xml:space="preserve">ALL THREE SCENARIOS AT 36 MONTHS</t>
  </si>
  <si>
    <t xml:space="preserve">Lean</t>
  </si>
  <si>
    <t xml:space="preserve">Base</t>
  </si>
  <si>
    <t xml:space="preserve">Full</t>
  </si>
  <si>
    <t xml:space="preserve">Total 36-month requirement</t>
  </si>
  <si>
    <t xml:space="preserve">Independent of the active-scenario selector.</t>
  </si>
  <si>
    <t xml:space="preserve">SAFRON — Funding Requirement Model</t>
  </si>
  <si>
    <t xml:space="preserve">All blue cells are inputs. Change them and every sheet recalculates.</t>
  </si>
  <si>
    <t xml:space="preserve">Currency: USD. Base date: August 2026.</t>
  </si>
  <si>
    <t xml:space="preserve">SCENARIO LEVERS</t>
  </si>
  <si>
    <t xml:space="preserve">Basis / source</t>
  </si>
  <si>
    <t xml:space="preserve">Monthly stipend per funded founder</t>
  </si>
  <si>
    <t xml:space="preserve">User-stated need: $600-900/mo. Tashkent IT market avg ~$1,450/mo (Flexa 2026) — we pay below market.</t>
  </si>
  <si>
    <t xml:space="preserve">Number of funded founders</t>
  </si>
  <si>
    <t xml:space="preserve">You + developer. PM leaves for UK study in Sept 2026 (unpaid advisor). Full case adds 1 contractor.</t>
  </si>
  <si>
    <t xml:space="preserve">Runway (months)</t>
  </si>
  <si>
    <t xml:space="preserve">Seasonality: missing an Uzbek tourism season costs a full year. 3 yrs = 3 shots at the season.</t>
  </si>
  <si>
    <t xml:space="preserve">Infra &amp; tools multiplier</t>
  </si>
  <si>
    <t xml:space="preserve">Applied to the Operating Costs sheet. Lean = free tiers, Full = higher AI spend.</t>
  </si>
  <si>
    <t xml:space="preserve">One-off cost multiplier</t>
  </si>
  <si>
    <t xml:space="preserve">Applied to the One-off Costs sheet.</t>
  </si>
  <si>
    <t xml:space="preserve">Contingency buffer %</t>
  </si>
  <si>
    <t xml:space="preserve">Standard project buffer. Investors expect to see one.</t>
  </si>
  <si>
    <t xml:space="preserve">ACTIVE SCENARIO  (type Lean, Base or Full)</t>
  </si>
  <si>
    <t xml:space="preserve">Drives the Summary sheet. Column index below resolves it.</t>
  </si>
  <si>
    <t xml:space="preserve">Column index</t>
  </si>
  <si>
    <t xml:space="preserve">RESOLVED ACTIVE VALUES</t>
  </si>
  <si>
    <t xml:space="preserve">Stipend per founder</t>
  </si>
  <si>
    <t xml:space="preserve">Funded founders</t>
  </si>
  <si>
    <t xml:space="preserve">Infra multiplier</t>
  </si>
  <si>
    <t xml:space="preserve">One-off multiplier</t>
  </si>
  <si>
    <t xml:space="preserve">Buffer %</t>
  </si>
  <si>
    <t xml:space="preserve">Recurring monthly costs (before scenario multiplier)</t>
  </si>
  <si>
    <t xml:space="preserve">Item</t>
  </si>
  <si>
    <t xml:space="preserve">$ / month</t>
  </si>
  <si>
    <t xml:space="preserve">36-mo total</t>
  </si>
  <si>
    <t xml:space="preserve">Basis</t>
  </si>
  <si>
    <t xml:space="preserve">Supabase Pro</t>
  </si>
  <si>
    <t xml:space="preserve">Managed Postgres. Free tier insufficient past pilot (PRD §7.2 targets 10k concurrent users).</t>
  </si>
  <si>
    <t xml:space="preserve">Vercel Pro</t>
  </si>
  <si>
    <t xml:space="preserve">Hosting for 4 Next.js apps. Team seat.</t>
  </si>
  <si>
    <t xml:space="preserve">Mapbox (beyond free tier)</t>
  </si>
  <si>
    <t xml:space="preserve">Free tier = 50k loads/mo (TECHNICAL_PLAN §10.2). Paid once Survival Map ships.</t>
  </si>
  <si>
    <t xml:space="preserve">AI APIs — OpenAI / Claude / Kimi</t>
  </si>
  <si>
    <t xml:space="preserve">TECHNICAL_PLAN §10.2 estimates $50-200/mo at MVP. Menu scanner + translator + itinerary AI.</t>
  </si>
  <si>
    <t xml:space="preserve">AI coding subscriptions (2 seats)</t>
  </si>
  <si>
    <t xml:space="preserve">Developer productivity tooling. ~$30/seat.</t>
  </si>
  <si>
    <t xml:space="preserve">Domain, DNS, Cloudflare, email</t>
  </si>
  <si>
    <t xml:space="preserve">uzbektourism.app + safron domains, WAF, transactional email.</t>
  </si>
  <si>
    <t xml:space="preserve">Error monitoring &amp; logging</t>
  </si>
  <si>
    <t xml:space="preserve">Sentry or equivalent. Required before public launch.</t>
  </si>
  <si>
    <t xml:space="preserve">Design tooling</t>
  </si>
  <si>
    <t xml:space="preserve">Figma seat.</t>
  </si>
  <si>
    <t xml:space="preserve">Misc SaaS / contingency</t>
  </si>
  <si>
    <t xml:space="preserve">Unallocated small tools.</t>
  </si>
  <si>
    <t xml:space="preserve">TOTAL / month</t>
  </si>
  <si>
    <t xml:space="preserve">One-off and periodic costs across the full runway</t>
  </si>
  <si>
    <t xml:space="preserve">Raw $</t>
  </si>
  <si>
    <t xml:space="preserve">Scenario-adj $</t>
  </si>
  <si>
    <t xml:space="preserve">Company registration &amp; setup</t>
  </si>
  <si>
    <t xml:space="preserve">LLC formation. Needed before any investment or government contract.</t>
  </si>
  <si>
    <t xml:space="preserve">Accounting (36 mo)</t>
  </si>
  <si>
    <t xml:space="preserve">~$60/mo bookkeeping. Mandatory once you have revenue and an investor.</t>
  </si>
  <si>
    <t xml:space="preserve">Pilot field work — Navoi / Nurata travel</t>
  </si>
  <si>
    <t xml:space="preserve">Deck slide 18: on-site provider onboarding. ~6 trips.</t>
  </si>
  <si>
    <t xml:space="preserve">Provider onboarding kit &amp; materials</t>
  </si>
  <si>
    <t xml:space="preserve">Printed guides in Uzbek for low-literacy providers.</t>
  </si>
  <si>
    <t xml:space="preserve">QR standees — airports, hotels</t>
  </si>
  <si>
    <t xml:space="preserve">PRD §9.1: QR distribution is the core acquisition assumption.</t>
  </si>
  <si>
    <t xml:space="preserve">Security audit (pre-launch)</t>
  </si>
  <si>
    <t xml:space="preserve">Deck slide 18 month 4-6. Required before handling passport data.</t>
  </si>
  <si>
    <t xml:space="preserve">Legal — ToS, privacy policy, contracts</t>
  </si>
  <si>
    <t xml:space="preserve">GDPR-aligned policies promised in PRD §7.3 and deck slide 16.</t>
  </si>
  <si>
    <t xml:space="preserve">Hardware — laptop replacement, test devices</t>
  </si>
  <si>
    <t xml:space="preserve">Low-end Android needed to test the Provider PWA on real target hardware.</t>
  </si>
  <si>
    <t xml:space="preserve">Launch marketing</t>
  </si>
  <si>
    <t xml:space="preserve">Deck slide 18 months 10-12.</t>
  </si>
  <si>
    <t xml:space="preserve">Grant / accelerator application costs</t>
  </si>
  <si>
    <t xml:space="preserve">IT Park, ADB, EBRD applications and related travel.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</si>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</sst>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"/>
    <numFmt numFmtId="167" formatCode="#,##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232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A232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320"/>
        <bgColor rgb="FF333333"/>
      </patternFill>
    </fill>
    <fill>
      <patternFill patternType="solid">
        <fgColor rgb="FFF1EEE6"/>
        <bgColor rgb="FFFFFFFF"/>
      </patternFill>
    </fill>
    <fill>
      <patternFill patternType="solid">
        <fgColor rgb="FFC5A880"/>
        <bgColor rgb="FFCC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E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5A880"/>
      <rgbColor rgb="FF003366"/>
      <rgbColor rgb="FF339966"/>
      <rgbColor rgb="FF0A23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7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 t="n">
        <f aca="false">Assumptions!$B$17*Assumptions!$B$18*12</f>
        <v>18000</v>
      </c>
      <c r="C5" s="6" t="n">
        <f aca="false">Assumptions!$B$17*Assumptions!$B$18*24</f>
        <v>36000</v>
      </c>
      <c r="D5" s="6" t="n">
        <f aca="false">Assumptions!$B$17*Assumptions!$B$18*36</f>
        <v>54000</v>
      </c>
    </row>
    <row r="6" customFormat="false" ht="15" hidden="false" customHeight="false" outlineLevel="0" collapsed="false">
      <c r="A6" s="5" t="s">
        <v>8</v>
      </c>
      <c r="B6" s="6" t="n">
        <f aca="false">'Operating Costs'!$B$13*Assumptions!$B$20*12</f>
        <v>3600</v>
      </c>
      <c r="C6" s="6" t="n">
        <f aca="false">'Operating Costs'!$B$13*Assumptions!$B$20*24</f>
        <v>7200</v>
      </c>
      <c r="D6" s="6" t="n">
        <f aca="false">'Operating Costs'!$B$13*Assumptions!$B$20*36</f>
        <v>10800</v>
      </c>
    </row>
    <row r="7" customFormat="false" ht="15" hidden="false" customHeight="false" outlineLevel="0" collapsed="false">
      <c r="A7" s="5" t="s">
        <v>9</v>
      </c>
      <c r="B7" s="6" t="n">
        <f aca="false">'One-off Costs'!$C$14*12/36</f>
        <v>3653.33333333333</v>
      </c>
      <c r="C7" s="6" t="n">
        <f aca="false">'One-off Costs'!$C$14*24/36</f>
        <v>7306.66666666667</v>
      </c>
      <c r="D7" s="6" t="n">
        <f aca="false">'One-off Costs'!$C$14*36/36</f>
        <v>10960</v>
      </c>
    </row>
    <row r="8" customFormat="false" ht="15" hidden="false" customHeight="false" outlineLevel="0" collapsed="false">
      <c r="A8" s="7" t="s">
        <v>10</v>
      </c>
      <c r="B8" s="8" t="n">
        <f aca="false">SUM(B5:B7)</f>
        <v>25253.3333333333</v>
      </c>
      <c r="C8" s="8" t="n">
        <f aca="false">SUM(C5:C7)</f>
        <v>50506.6666666667</v>
      </c>
      <c r="D8" s="8" t="n">
        <f aca="false">SUM(D5:D7)</f>
        <v>75760</v>
      </c>
    </row>
    <row r="9" customFormat="false" ht="15" hidden="false" customHeight="false" outlineLevel="0" collapsed="false">
      <c r="A9" s="5" t="s">
        <v>11</v>
      </c>
      <c r="B9" s="6" t="n">
        <f aca="false">B8*Assumptions!$B$22</f>
        <v>3788</v>
      </c>
      <c r="C9" s="6" t="n">
        <f aca="false">C8*Assumptions!$B$22</f>
        <v>7576</v>
      </c>
      <c r="D9" s="6" t="n">
        <f aca="false">D8*Assumptions!$B$22</f>
        <v>11364</v>
      </c>
    </row>
    <row r="10" customFormat="false" ht="15" hidden="false" customHeight="false" outlineLevel="0" collapsed="false">
      <c r="A10" s="9" t="s">
        <v>12</v>
      </c>
      <c r="B10" s="10" t="n">
        <f aca="false">B8+B9</f>
        <v>29041.3333333333</v>
      </c>
      <c r="C10" s="10" t="n">
        <f aca="false">C8+C9</f>
        <v>58082.6666666667</v>
      </c>
      <c r="D10" s="10" t="n">
        <f aca="false">D8+D9</f>
        <v>87124</v>
      </c>
      <c r="E10" s="2" t="s">
        <v>13</v>
      </c>
    </row>
    <row r="12" customFormat="false" ht="15" hidden="false" customHeight="false" outlineLevel="0" collapsed="false">
      <c r="A12" s="11" t="s">
        <v>14</v>
      </c>
      <c r="B12" s="12" t="n">
        <f aca="false">Assumptions!$B$17*Assumptions!$B$18+'Operating Costs'!$B$13*Assumptions!$B$20</f>
        <v>1800</v>
      </c>
      <c r="E12" s="2" t="s">
        <v>15</v>
      </c>
    </row>
    <row r="13" customFormat="false" ht="15" hidden="false" customHeight="false" outlineLevel="0" collapsed="false">
      <c r="A13" s="11" t="s">
        <v>16</v>
      </c>
      <c r="B13" s="13" t="n">
        <f aca="false">IFERROR(10000/B12,0)</f>
        <v>5.55555555555556</v>
      </c>
      <c r="E13" s="2" t="s">
        <v>17</v>
      </c>
    </row>
    <row r="14" customFormat="false" ht="15" hidden="false" customHeight="false" outlineLevel="0" collapsed="false">
      <c r="A14" s="11" t="s">
        <v>18</v>
      </c>
      <c r="B14" s="13" t="n">
        <f aca="false">IFERROR(30000/B12,0)</f>
        <v>16.6666666666667</v>
      </c>
    </row>
    <row r="15" customFormat="false" ht="15" hidden="false" customHeight="false" outlineLevel="0" collapsed="false">
      <c r="A15" s="11" t="s">
        <v>19</v>
      </c>
      <c r="B15" s="13" t="n">
        <f aca="false">IFERROR(40000/B12,0)</f>
        <v>22.2222222222222</v>
      </c>
    </row>
    <row r="17" customFormat="false" ht="15" hidden="false" customHeight="false" outlineLevel="0" collapsed="false">
      <c r="A17" s="3" t="s">
        <v>20</v>
      </c>
      <c r="B17" s="14"/>
      <c r="C17" s="14"/>
      <c r="D17" s="14"/>
      <c r="E17" s="14"/>
    </row>
    <row r="18" customFormat="false" ht="15" hidden="false" customHeight="false" outlineLevel="0" collapsed="false">
      <c r="B18" s="15" t="s">
        <v>21</v>
      </c>
      <c r="C18" s="15" t="s">
        <v>22</v>
      </c>
      <c r="D18" s="15" t="s">
        <v>23</v>
      </c>
    </row>
    <row r="19" customFormat="false" ht="15" hidden="false" customHeight="false" outlineLevel="0" collapsed="false">
      <c r="A19" s="11" t="s">
        <v>24</v>
      </c>
      <c r="B19" s="12" t="n">
        <f aca="false">(Assumptions!B6*Assumptions!B7*36+'Operating Costs'!$B$13*Assumptions!B9*36+'One-off Costs'!$B$14*Assumptions!B10)*(1+Assumptions!B11)</f>
        <v>62466.8</v>
      </c>
      <c r="C19" s="12" t="n">
        <f aca="false">(Assumptions!C6*Assumptions!C7*36+'Operating Costs'!$B$13*Assumptions!C9*36+'One-off Costs'!$B$14*Assumptions!C10)*(1+Assumptions!C11)</f>
        <v>87124</v>
      </c>
      <c r="D19" s="12" t="n">
        <f aca="false">(Assumptions!D6*Assumptions!D7*36+'Operating Costs'!$B$13*Assumptions!D9*36+'One-off Costs'!$B$14*Assumptions!D10)*(1+Assumptions!D11)</f>
        <v>155131.2</v>
      </c>
      <c r="E1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3" t="s">
        <v>29</v>
      </c>
      <c r="B5" s="4" t="s">
        <v>21</v>
      </c>
      <c r="C5" s="4" t="s">
        <v>22</v>
      </c>
      <c r="D5" s="4" t="s">
        <v>23</v>
      </c>
      <c r="E5" s="3" t="s">
        <v>30</v>
      </c>
    </row>
    <row r="6" customFormat="false" ht="15" hidden="false" customHeight="false" outlineLevel="0" collapsed="false">
      <c r="A6" s="11" t="s">
        <v>31</v>
      </c>
      <c r="B6" s="16" t="n">
        <v>600</v>
      </c>
      <c r="C6" s="16" t="n">
        <v>750</v>
      </c>
      <c r="D6" s="16" t="n">
        <v>900</v>
      </c>
      <c r="E6" s="2" t="s">
        <v>32</v>
      </c>
    </row>
    <row r="7" customFormat="false" ht="15" hidden="false" customHeight="false" outlineLevel="0" collapsed="false">
      <c r="A7" s="11" t="s">
        <v>33</v>
      </c>
      <c r="B7" s="17" t="n">
        <v>2</v>
      </c>
      <c r="C7" s="17" t="n">
        <v>2</v>
      </c>
      <c r="D7" s="17" t="n">
        <v>3</v>
      </c>
      <c r="E7" s="2" t="s">
        <v>34</v>
      </c>
    </row>
    <row r="8" customFormat="false" ht="15" hidden="false" customHeight="false" outlineLevel="0" collapsed="false">
      <c r="A8" s="11" t="s">
        <v>35</v>
      </c>
      <c r="B8" s="17" t="n">
        <v>36</v>
      </c>
      <c r="C8" s="17" t="n">
        <v>36</v>
      </c>
      <c r="D8" s="17" t="n">
        <v>36</v>
      </c>
      <c r="E8" s="2" t="s">
        <v>36</v>
      </c>
    </row>
    <row r="9" customFormat="false" ht="15" hidden="false" customHeight="false" outlineLevel="0" collapsed="false">
      <c r="A9" s="11" t="s">
        <v>37</v>
      </c>
      <c r="B9" s="18" t="n">
        <v>0.7</v>
      </c>
      <c r="C9" s="18" t="n">
        <v>1</v>
      </c>
      <c r="D9" s="18" t="n">
        <v>1.6</v>
      </c>
      <c r="E9" s="2" t="s">
        <v>38</v>
      </c>
    </row>
    <row r="10" customFormat="false" ht="15" hidden="false" customHeight="false" outlineLevel="0" collapsed="false">
      <c r="A10" s="11" t="s">
        <v>39</v>
      </c>
      <c r="B10" s="18" t="n">
        <v>0.55</v>
      </c>
      <c r="C10" s="18" t="n">
        <v>1</v>
      </c>
      <c r="D10" s="18" t="n">
        <v>1.35</v>
      </c>
      <c r="E10" s="2" t="s">
        <v>40</v>
      </c>
    </row>
    <row r="11" customFormat="false" ht="15" hidden="false" customHeight="false" outlineLevel="0" collapsed="false">
      <c r="A11" s="11" t="s">
        <v>41</v>
      </c>
      <c r="B11" s="18" t="n">
        <v>0.1</v>
      </c>
      <c r="C11" s="18" t="n">
        <v>0.15</v>
      </c>
      <c r="D11" s="18" t="n">
        <v>0.2</v>
      </c>
      <c r="E11" s="2" t="s">
        <v>42</v>
      </c>
    </row>
    <row r="13" customFormat="false" ht="15" hidden="false" customHeight="false" outlineLevel="0" collapsed="false">
      <c r="A13" s="11" t="s">
        <v>43</v>
      </c>
      <c r="B13" s="19" t="s">
        <v>22</v>
      </c>
      <c r="E13" s="2" t="s">
        <v>44</v>
      </c>
    </row>
    <row r="14" customFormat="false" ht="15" hidden="false" customHeight="false" outlineLevel="0" collapsed="false">
      <c r="A14" s="5" t="s">
        <v>45</v>
      </c>
      <c r="B14" s="5" t="n">
        <f aca="false">MATCH(B13,{"Lean","Base","Full"},0)</f>
        <v>2</v>
      </c>
    </row>
    <row r="16" customFormat="false" ht="15" hidden="false" customHeight="false" outlineLevel="0" collapsed="false">
      <c r="A16" s="3" t="s">
        <v>46</v>
      </c>
      <c r="B16" s="14"/>
      <c r="C16" s="14"/>
      <c r="D16" s="14"/>
      <c r="E16" s="14"/>
    </row>
    <row r="17" customFormat="false" ht="15" hidden="false" customHeight="false" outlineLevel="0" collapsed="false">
      <c r="A17" s="11" t="s">
        <v>47</v>
      </c>
      <c r="B17" s="6" t="n">
        <f aca="false">INDEX(B6:D6,$B$14)</f>
        <v>750</v>
      </c>
    </row>
    <row r="18" customFormat="false" ht="15" hidden="false" customHeight="false" outlineLevel="0" collapsed="false">
      <c r="A18" s="11" t="s">
        <v>48</v>
      </c>
      <c r="B18" s="20" t="n">
        <f aca="false">INDEX(B7:D7,$B$14)</f>
        <v>2</v>
      </c>
    </row>
    <row r="19" customFormat="false" ht="15" hidden="false" customHeight="false" outlineLevel="0" collapsed="false">
      <c r="A19" s="11" t="s">
        <v>35</v>
      </c>
      <c r="B19" s="20" t="n">
        <f aca="false">INDEX(B8:D8,$B$14)</f>
        <v>36</v>
      </c>
    </row>
    <row r="20" customFormat="false" ht="15" hidden="false" customHeight="false" outlineLevel="0" collapsed="false">
      <c r="A20" s="11" t="s">
        <v>49</v>
      </c>
      <c r="B20" s="21" t="n">
        <f aca="false">INDEX(B9:D9,$B$14)</f>
        <v>1</v>
      </c>
    </row>
    <row r="21" customFormat="false" ht="15" hidden="false" customHeight="false" outlineLevel="0" collapsed="false">
      <c r="A21" s="11" t="s">
        <v>50</v>
      </c>
      <c r="B21" s="21" t="n">
        <f aca="false">INDEX(B10:D10,$B$14)</f>
        <v>1</v>
      </c>
    </row>
    <row r="22" customFormat="false" ht="15" hidden="false" customHeight="false" outlineLevel="0" collapsed="false">
      <c r="A22" s="11" t="s">
        <v>51</v>
      </c>
      <c r="B22" s="21" t="n">
        <f aca="false">INDEX(B11:D11,$B$14)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52</v>
      </c>
    </row>
    <row r="3" customFormat="false" ht="15" hidden="false" customHeight="false" outlineLevel="0" collapsed="false">
      <c r="A3" s="3" t="s">
        <v>53</v>
      </c>
      <c r="B3" s="3" t="s">
        <v>54</v>
      </c>
      <c r="C3" s="3" t="s">
        <v>55</v>
      </c>
      <c r="D3" s="3" t="s">
        <v>56</v>
      </c>
    </row>
    <row r="4" customFormat="false" ht="15" hidden="false" customHeight="false" outlineLevel="0" collapsed="false">
      <c r="A4" s="5" t="s">
        <v>57</v>
      </c>
      <c r="B4" s="16" t="n">
        <v>25</v>
      </c>
      <c r="C4" s="6" t="n">
        <f aca="false">B4*Assumptions!$B$19*Assumptions!$B$20</f>
        <v>900</v>
      </c>
      <c r="D4" s="2" t="s">
        <v>58</v>
      </c>
    </row>
    <row r="5" customFormat="false" ht="15" hidden="false" customHeight="false" outlineLevel="0" collapsed="false">
      <c r="A5" s="5" t="s">
        <v>59</v>
      </c>
      <c r="B5" s="16" t="n">
        <v>20</v>
      </c>
      <c r="C5" s="6" t="n">
        <f aca="false">B5*Assumptions!$B$19*Assumptions!$B$20</f>
        <v>720</v>
      </c>
      <c r="D5" s="2" t="s">
        <v>60</v>
      </c>
    </row>
    <row r="6" customFormat="false" ht="15" hidden="false" customHeight="false" outlineLevel="0" collapsed="false">
      <c r="A6" s="5" t="s">
        <v>61</v>
      </c>
      <c r="B6" s="16" t="n">
        <v>30</v>
      </c>
      <c r="C6" s="6" t="n">
        <f aca="false">B6*Assumptions!$B$19*Assumptions!$B$20</f>
        <v>1080</v>
      </c>
      <c r="D6" s="2" t="s">
        <v>62</v>
      </c>
    </row>
    <row r="7" customFormat="false" ht="15" hidden="false" customHeight="false" outlineLevel="0" collapsed="false">
      <c r="A7" s="5" t="s">
        <v>63</v>
      </c>
      <c r="B7" s="16" t="n">
        <v>100</v>
      </c>
      <c r="C7" s="6" t="n">
        <f aca="false">B7*Assumptions!$B$19*Assumptions!$B$20</f>
        <v>3600</v>
      </c>
      <c r="D7" s="2" t="s">
        <v>64</v>
      </c>
    </row>
    <row r="8" customFormat="false" ht="15" hidden="false" customHeight="false" outlineLevel="0" collapsed="false">
      <c r="A8" s="5" t="s">
        <v>65</v>
      </c>
      <c r="B8" s="16" t="n">
        <v>60</v>
      </c>
      <c r="C8" s="6" t="n">
        <f aca="false">B8*Assumptions!$B$19*Assumptions!$B$20</f>
        <v>2160</v>
      </c>
      <c r="D8" s="2" t="s">
        <v>66</v>
      </c>
    </row>
    <row r="9" customFormat="false" ht="15" hidden="false" customHeight="false" outlineLevel="0" collapsed="false">
      <c r="A9" s="5" t="s">
        <v>67</v>
      </c>
      <c r="B9" s="16" t="n">
        <v>15</v>
      </c>
      <c r="C9" s="6" t="n">
        <f aca="false">B9*Assumptions!$B$19*Assumptions!$B$20</f>
        <v>540</v>
      </c>
      <c r="D9" s="2" t="s">
        <v>68</v>
      </c>
    </row>
    <row r="10" customFormat="false" ht="15" hidden="false" customHeight="false" outlineLevel="0" collapsed="false">
      <c r="A10" s="5" t="s">
        <v>69</v>
      </c>
      <c r="B10" s="16" t="n">
        <v>15</v>
      </c>
      <c r="C10" s="6" t="n">
        <f aca="false">B10*Assumptions!$B$19*Assumptions!$B$20</f>
        <v>540</v>
      </c>
      <c r="D10" s="2" t="s">
        <v>70</v>
      </c>
    </row>
    <row r="11" customFormat="false" ht="15" hidden="false" customHeight="false" outlineLevel="0" collapsed="false">
      <c r="A11" s="5" t="s">
        <v>71</v>
      </c>
      <c r="B11" s="16" t="n">
        <v>15</v>
      </c>
      <c r="C11" s="6" t="n">
        <f aca="false">B11*Assumptions!$B$19*Assumptions!$B$20</f>
        <v>540</v>
      </c>
      <c r="D11" s="2" t="s">
        <v>72</v>
      </c>
    </row>
    <row r="12" customFormat="false" ht="15" hidden="false" customHeight="false" outlineLevel="0" collapsed="false">
      <c r="A12" s="5" t="s">
        <v>73</v>
      </c>
      <c r="B12" s="16" t="n">
        <v>20</v>
      </c>
      <c r="C12" s="6" t="n">
        <f aca="false">B12*Assumptions!$B$19*Assumptions!$B$20</f>
        <v>720</v>
      </c>
      <c r="D12" s="2" t="s">
        <v>74</v>
      </c>
    </row>
    <row r="13" customFormat="false" ht="15" hidden="false" customHeight="false" outlineLevel="0" collapsed="false">
      <c r="A13" s="7" t="s">
        <v>75</v>
      </c>
      <c r="B13" s="8" t="n">
        <f aca="false">SUM(B4:B12)</f>
        <v>300</v>
      </c>
      <c r="C13" s="8" t="n">
        <f aca="false">SUM(C4:C12)</f>
        <v>10800</v>
      </c>
      <c r="D1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3" t="s">
        <v>53</v>
      </c>
      <c r="B3" s="3" t="s">
        <v>77</v>
      </c>
      <c r="C3" s="3" t="s">
        <v>78</v>
      </c>
      <c r="D3" s="3" t="s">
        <v>56</v>
      </c>
    </row>
    <row r="4" customFormat="false" ht="15" hidden="false" customHeight="false" outlineLevel="0" collapsed="false">
      <c r="A4" s="5" t="s">
        <v>79</v>
      </c>
      <c r="B4" s="16" t="n">
        <v>500</v>
      </c>
      <c r="C4" s="6" t="n">
        <f aca="false">B4*Assumptions!$B$21</f>
        <v>500</v>
      </c>
      <c r="D4" s="2" t="s">
        <v>80</v>
      </c>
    </row>
    <row r="5" customFormat="false" ht="15" hidden="false" customHeight="false" outlineLevel="0" collapsed="false">
      <c r="A5" s="5" t="s">
        <v>81</v>
      </c>
      <c r="B5" s="16" t="n">
        <v>2160</v>
      </c>
      <c r="C5" s="6" t="n">
        <f aca="false">B5*Assumptions!$B$21</f>
        <v>2160</v>
      </c>
      <c r="D5" s="2" t="s">
        <v>82</v>
      </c>
    </row>
    <row r="6" customFormat="false" ht="15" hidden="false" customHeight="false" outlineLevel="0" collapsed="false">
      <c r="A6" s="5" t="s">
        <v>83</v>
      </c>
      <c r="B6" s="16" t="n">
        <v>900</v>
      </c>
      <c r="C6" s="6" t="n">
        <f aca="false">B6*Assumptions!$B$21</f>
        <v>900</v>
      </c>
      <c r="D6" s="2" t="s">
        <v>84</v>
      </c>
    </row>
    <row r="7" customFormat="false" ht="15" hidden="false" customHeight="false" outlineLevel="0" collapsed="false">
      <c r="A7" s="5" t="s">
        <v>85</v>
      </c>
      <c r="B7" s="16" t="n">
        <v>400</v>
      </c>
      <c r="C7" s="6" t="n">
        <f aca="false">B7*Assumptions!$B$21</f>
        <v>400</v>
      </c>
      <c r="D7" s="2" t="s">
        <v>86</v>
      </c>
    </row>
    <row r="8" customFormat="false" ht="15" hidden="false" customHeight="false" outlineLevel="0" collapsed="false">
      <c r="A8" s="5" t="s">
        <v>87</v>
      </c>
      <c r="B8" s="16" t="n">
        <v>600</v>
      </c>
      <c r="C8" s="6" t="n">
        <f aca="false">B8*Assumptions!$B$21</f>
        <v>600</v>
      </c>
      <c r="D8" s="2" t="s">
        <v>88</v>
      </c>
    </row>
    <row r="9" customFormat="false" ht="15" hidden="false" customHeight="false" outlineLevel="0" collapsed="false">
      <c r="A9" s="5" t="s">
        <v>89</v>
      </c>
      <c r="B9" s="16" t="n">
        <v>1500</v>
      </c>
      <c r="C9" s="6" t="n">
        <f aca="false">B9*Assumptions!$B$21</f>
        <v>1500</v>
      </c>
      <c r="D9" s="2" t="s">
        <v>90</v>
      </c>
    </row>
    <row r="10" customFormat="false" ht="15" hidden="false" customHeight="false" outlineLevel="0" collapsed="false">
      <c r="A10" s="5" t="s">
        <v>91</v>
      </c>
      <c r="B10" s="16" t="n">
        <v>1200</v>
      </c>
      <c r="C10" s="6" t="n">
        <f aca="false">B10*Assumptions!$B$21</f>
        <v>1200</v>
      </c>
      <c r="D10" s="2" t="s">
        <v>92</v>
      </c>
    </row>
    <row r="11" customFormat="false" ht="15" hidden="false" customHeight="false" outlineLevel="0" collapsed="false">
      <c r="A11" s="5" t="s">
        <v>93</v>
      </c>
      <c r="B11" s="16" t="n">
        <v>1400</v>
      </c>
      <c r="C11" s="6" t="n">
        <f aca="false">B11*Assumptions!$B$21</f>
        <v>1400</v>
      </c>
      <c r="D11" s="2" t="s">
        <v>94</v>
      </c>
    </row>
    <row r="12" customFormat="false" ht="15" hidden="false" customHeight="false" outlineLevel="0" collapsed="false">
      <c r="A12" s="5" t="s">
        <v>95</v>
      </c>
      <c r="B12" s="16" t="n">
        <v>1500</v>
      </c>
      <c r="C12" s="6" t="n">
        <f aca="false">B12*Assumptions!$B$21</f>
        <v>1500</v>
      </c>
      <c r="D12" s="2" t="s">
        <v>96</v>
      </c>
    </row>
    <row r="13" customFormat="false" ht="15" hidden="false" customHeight="false" outlineLevel="0" collapsed="false">
      <c r="A13" s="5" t="s">
        <v>97</v>
      </c>
      <c r="B13" s="16" t="n">
        <v>800</v>
      </c>
      <c r="C13" s="6" t="n">
        <f aca="false">B13*Assumptions!$B$21</f>
        <v>800</v>
      </c>
      <c r="D13" s="2" t="s">
        <v>98</v>
      </c>
    </row>
    <row r="14" customFormat="false" ht="15" hidden="false" customHeight="false" outlineLevel="0" collapsed="false">
      <c r="A14" s="7" t="s">
        <v>99</v>
      </c>
      <c r="B14" s="8" t="n">
        <f aca="false">SUM(B4:B13)</f>
        <v>10960</v>
      </c>
      <c r="C14" s="8" t="n">
        <f aca="false">SUM(C4:C13)</f>
        <v>10960</v>
      </c>
      <c r="D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2026-08-10T17:26:26Z</dcterms:created>
  <dc:creator>openpyxl</dc:creator>
  <dc:description/>
  <dc:language>en-US</dc:language>
  <cp:lastModifiedBy/>
  <dcterms:modified xsi:type="dcterms:W3CDTF">2026-08-10T17:26:26Z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