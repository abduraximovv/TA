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Re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<sst xmlns="http://schemas.openxmlformats.org/spreadsheetml/2006/main" count="83" uniqueCount="78">
  <si>
    <t xml:space="preserve">SAFRON — Budget</t>
  </si>
  <si>
    <t xml:space="preserve">Figures supplied by the founding team, 10 Aug 2026. Blue cells are inputs.</t>
  </si>
  <si>
    <t xml:space="preserve">Item</t>
  </si>
  <si>
    <t xml:space="preserve">$ / month</t>
  </si>
  <si>
    <t xml:space="preserve">Year 1</t>
  </si>
  <si>
    <t xml:space="preserve">Year 2</t>
  </si>
  <si>
    <t xml:space="preserve">Year 3</t>
  </si>
  <si>
    <t xml:space="preserve">3-Year Total</t>
  </si>
  <si>
    <t xml:space="preserve">Note</t>
  </si>
  <si>
    <t xml:space="preserve">PEOPLE</t>
  </si>
  <si>
    <t xml:space="preserve">Founder stipend (per person / month)</t>
  </si>
  <si>
    <t xml:space="preserve">Your figure. See Review sheet — this is the riskiest line in the model.</t>
  </si>
  <si>
    <t xml:space="preserve">Number of founders paid</t>
  </si>
  <si>
    <t xml:space="preserve">Your figure.</t>
  </si>
  <si>
    <t xml:space="preserve">Total stipends</t>
  </si>
  <si>
    <t xml:space="preserve">RECURRING MONTHLY</t>
  </si>
  <si>
    <t xml:space="preserve">Claude</t>
  </si>
  <si>
    <t xml:space="preserve">Kimi &amp; OpenAI API usage</t>
  </si>
  <si>
    <t xml:space="preserve">Designing tools</t>
  </si>
  <si>
    <t xml:space="preserve">Server</t>
  </si>
  <si>
    <t xml:space="preserve">See Review — likely light once you leave free tiers.</t>
  </si>
  <si>
    <t xml:space="preserve">Coding subscriptions</t>
  </si>
  <si>
    <t xml:space="preserve">Accounting</t>
  </si>
  <si>
    <t xml:space="preserve">See Review — reasonable, possibly high pre-revenue.</t>
  </si>
  <si>
    <t xml:space="preserve">Subtotal — recurring</t>
  </si>
  <si>
    <t xml:space="preserve">ONE-OFF &amp; PERIODIC  (charged in Year 1)</t>
  </si>
  <si>
    <t xml:space="preserve">Company registration</t>
  </si>
  <si>
    <t xml:space="preserve">Launch marketing</t>
  </si>
  <si>
    <t xml:space="preserve">See Review — depends whether "launch" means pilot or national.</t>
  </si>
  <si>
    <t xml:space="preserve">Provider &amp; agency onboarding (2 people)</t>
  </si>
  <si>
    <t xml:space="preserve">See Review — realistically recurs each season, not once.</t>
  </si>
  <si>
    <t xml:space="preserve">Legal work</t>
  </si>
  <si>
    <t xml:space="preserve">See Review — thin if you are signing an investment deal AND handling passport data.</t>
  </si>
  <si>
    <t xml:space="preserve">Subtotal — one-off</t>
  </si>
  <si>
    <t xml:space="preserve">SUBTOTAL (before buffer)</t>
  </si>
  <si>
    <t xml:space="preserve">Column B = monthly burn rate.</t>
  </si>
  <si>
    <t xml:space="preserve">Buffer</t>
  </si>
  <si>
    <t xml:space="preserve">30% per your instruction, for uncertainty.</t>
  </si>
  <si>
    <t xml:space="preserve">TOTAL</t>
  </si>
  <si>
    <t xml:space="preserve">CUMULATIVE — WHAT YOU MUST RAISE</t>
  </si>
  <si>
    <t xml:space="preserve">To cover 1 year</t>
  </si>
  <si>
    <t xml:space="preserve">To cover 2 years</t>
  </si>
  <si>
    <t xml:space="preserve">To cover 3 years</t>
  </si>
  <si>
    <t xml:space="preserve">Monthly burn rate</t>
  </si>
  <si>
    <t xml:space="preserve">Months of runway from $10,000</t>
  </si>
  <si>
    <t xml:space="preserve">Excludes one-off items.</t>
  </si>
  <si>
    <t xml:space="preserve">Months of runway from $30,000</t>
  </si>
  <si>
    <t xml:space="preserve">Months of runway from $40,000</t>
  </si>
  <si>
    <t xml:space="preserve">The five lines you flagged</t>
  </si>
  <si>
    <t xml:space="preserve">My read on each. You know your context; these are the ones I would pressure-test.</t>
  </si>
  <si>
    <t xml:space="preserve">Your figure</t>
  </si>
  <si>
    <t xml:space="preserve">My view</t>
  </si>
  <si>
    <t xml:space="preserve">Reasoning</t>
  </si>
  <si>
    <t xml:space="preserve">Founder stipend</t>
  </si>
  <si>
    <t xml:space="preserve">$500/mo each</t>
  </si>
  <si>
    <t xml:space="preserve">Fine yr 1, risky yr 3</t>
  </si>
  <si>
    <t xml:space="preserve">Tashkent average salary is ~$1,000/mo and IT sector ~$1,450/mo (Flexa 2026). $500 is about a third of market. Workable while living at home; hard to hold for 36 months. Your real risk is not the budget, it is your developer taking a market offer in month 14. Also note one founder will be in the UK, where $500/mo is symbolic rather than supportive.</t>
  </si>
  <si>
    <t xml:space="preserve">$100/mo</t>
  </si>
  <si>
    <t xml:space="preserve">Reasonable, maybe high early</t>
  </si>
  <si>
    <t xml:space="preserve">Fine. Possibly $30-50/mo while pre-revenue, rising once you have real transactions and investor reporting. Not worth optimising.</t>
  </si>
  <si>
    <t xml:space="preserve">$500 one-off</t>
  </si>
  <si>
    <t xml:space="preserve">Too low — I would double or triple</t>
  </si>
  <si>
    <t xml:space="preserve">Covers company formation documents and little else. It does not cover an investment agreement (convertible note or revenue-share), ToS and a privacy policy for a platform you have publicly promised is GDPR-aligned, or provider and agency contracts. You are about to do both an investment deal and passport OCR. $1,500-2,500 is more realistic. This is the line most likely to bite you.</t>
  </si>
  <si>
    <t xml:space="preserve">$3,000 one-off</t>
  </si>
  <si>
    <t xml:space="preserve">Plausible for pilot, low for national</t>
  </si>
  <si>
    <t xml:space="preserve">Your channel is QR placement at airports and hotels, so the cost is physical placement and partnership deals rather than ad spend, which makes $3,000 credible for a regional launch. If "launch" means national across all four portals, it is light. Depends entirely which you mean.</t>
  </si>
  <si>
    <t xml:space="preserve">Provider/agency onboarding</t>
  </si>
  <si>
    <t xml:space="preserve">$3,000, 2 people</t>
  </si>
  <si>
    <t xml:space="preserve">Right size, wrong shape</t>
  </si>
  <si>
    <t xml:space="preserve">For two people covering transport, lodging and meals across roughly 6-8 trips to Navoi/Nurata, $3,000 is defensible. The problem is treating it as one-off. Onboarding 50 rural providers is a continuing field operation: support calls, retraining, and replacing people who drop off. Budget it as recurring each season, not once. See the sensitivity below.</t>
  </si>
  <si>
    <t xml:space="preserve">$20/mo</t>
  </si>
  <si>
    <t xml:space="preserve">Light once you scale</t>
  </si>
  <si>
    <t xml:space="preserve">Supabase Pro is $25/mo and Vercel Pro $20/mo before Mapbox, per your own TECHNICAL_PLAN. $20 works on free tiers, which is correct for now, but it will step up around the time you get real traffic. Not urgent, just do not be surprised.</t>
  </si>
  <si>
    <t xml:space="preserve">SENSITIVITY — if onboarding and marketing recur annually</t>
  </si>
  <si>
    <t xml:space="preserve">Extra cost per year (yrs 2 and 3)</t>
  </si>
  <si>
    <t xml:space="preserve">Launch marketing + onboarding, repeated each season.</t>
  </si>
  <si>
    <t xml:space="preserve">Revised 3-year total</t>
  </si>
  <si>
    <t xml:space="preserve">Buffered, same 30%. This is the number I would actually plan against.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</si>
</sst>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232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A232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2320"/>
        <bgColor rgb="FF333333"/>
      </patternFill>
    </fill>
    <fill>
      <patternFill patternType="solid">
        <fgColor rgb="FFF1EE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5A880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E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5A880"/>
      <rgbColor rgb="FF003366"/>
      <rgbColor rgb="FF339966"/>
      <rgbColor rgb="FF0A23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4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7" t="s">
        <v>10</v>
      </c>
      <c r="B6" s="8" t="n">
        <v>500</v>
      </c>
      <c r="G6" s="2" t="s">
        <v>11</v>
      </c>
    </row>
    <row r="7" customFormat="false" ht="15" hidden="false" customHeight="false" outlineLevel="0" collapsed="false">
      <c r="A7" s="7" t="s">
        <v>12</v>
      </c>
      <c r="B7" s="9" t="n">
        <v>3</v>
      </c>
      <c r="G7" s="2" t="s">
        <v>13</v>
      </c>
    </row>
    <row r="8" customFormat="false" ht="15" hidden="false" customHeight="false" outlineLevel="0" collapsed="false">
      <c r="A8" s="10" t="s">
        <v>14</v>
      </c>
      <c r="B8" s="11" t="n">
        <f aca="false">B6*B7</f>
        <v>1500</v>
      </c>
      <c r="C8" s="12" t="n">
        <f aca="false">$B$8*12</f>
        <v>18000</v>
      </c>
      <c r="D8" s="12" t="n">
        <f aca="false">$B$8*12</f>
        <v>18000</v>
      </c>
      <c r="E8" s="12" t="n">
        <f aca="false">$B$8*12</f>
        <v>18000</v>
      </c>
      <c r="F8" s="11" t="n">
        <f aca="false">SUM(C8:E8)</f>
        <v>54000</v>
      </c>
    </row>
    <row r="10" customFormat="false" ht="15" hidden="false" customHeight="false" outlineLevel="0" collapsed="false">
      <c r="A10" s="5" t="s">
        <v>15</v>
      </c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7" t="s">
        <v>16</v>
      </c>
      <c r="B11" s="8" t="n">
        <v>100</v>
      </c>
      <c r="C11" s="12" t="n">
        <f aca="false">$B$11*12</f>
        <v>1200</v>
      </c>
      <c r="D11" s="12" t="n">
        <f aca="false">$B$11*12</f>
        <v>1200</v>
      </c>
      <c r="E11" s="12" t="n">
        <f aca="false">$B$11*12</f>
        <v>1200</v>
      </c>
      <c r="F11" s="12" t="n">
        <f aca="false">SUM(C11:E11)</f>
        <v>3600</v>
      </c>
    </row>
    <row r="12" customFormat="false" ht="15" hidden="false" customHeight="false" outlineLevel="0" collapsed="false">
      <c r="A12" s="7" t="s">
        <v>17</v>
      </c>
      <c r="B12" s="8" t="n">
        <v>120</v>
      </c>
      <c r="C12" s="12" t="n">
        <f aca="false">$B$12*12</f>
        <v>1440</v>
      </c>
      <c r="D12" s="12" t="n">
        <f aca="false">$B$12*12</f>
        <v>1440</v>
      </c>
      <c r="E12" s="12" t="n">
        <f aca="false">$B$12*12</f>
        <v>1440</v>
      </c>
      <c r="F12" s="12" t="n">
        <f aca="false">SUM(C12:E12)</f>
        <v>4320</v>
      </c>
    </row>
    <row r="13" customFormat="false" ht="15" hidden="false" customHeight="false" outlineLevel="0" collapsed="false">
      <c r="A13" s="7" t="s">
        <v>18</v>
      </c>
      <c r="B13" s="8" t="n">
        <v>20</v>
      </c>
      <c r="C13" s="12" t="n">
        <f aca="false">$B$13*12</f>
        <v>240</v>
      </c>
      <c r="D13" s="12" t="n">
        <f aca="false">$B$13*12</f>
        <v>240</v>
      </c>
      <c r="E13" s="12" t="n">
        <f aca="false">$B$13*12</f>
        <v>240</v>
      </c>
      <c r="F13" s="12" t="n">
        <f aca="false">SUM(C13:E13)</f>
        <v>720</v>
      </c>
    </row>
    <row r="14" customFormat="false" ht="15" hidden="false" customHeight="false" outlineLevel="0" collapsed="false">
      <c r="A14" s="7" t="s">
        <v>19</v>
      </c>
      <c r="B14" s="8" t="n">
        <v>20</v>
      </c>
      <c r="C14" s="12" t="n">
        <f aca="false">$B$14*12</f>
        <v>240</v>
      </c>
      <c r="D14" s="12" t="n">
        <f aca="false">$B$14*12</f>
        <v>240</v>
      </c>
      <c r="E14" s="12" t="n">
        <f aca="false">$B$14*12</f>
        <v>240</v>
      </c>
      <c r="F14" s="12" t="n">
        <f aca="false">SUM(C14:E14)</f>
        <v>720</v>
      </c>
      <c r="G14" s="2" t="s">
        <v>20</v>
      </c>
    </row>
    <row r="15" customFormat="false" ht="15" hidden="false" customHeight="false" outlineLevel="0" collapsed="false">
      <c r="A15" s="7" t="s">
        <v>21</v>
      </c>
      <c r="B15" s="8" t="n">
        <v>20</v>
      </c>
      <c r="C15" s="12" t="n">
        <f aca="false">$B$15*12</f>
        <v>240</v>
      </c>
      <c r="D15" s="12" t="n">
        <f aca="false">$B$15*12</f>
        <v>240</v>
      </c>
      <c r="E15" s="12" t="n">
        <f aca="false">$B$15*12</f>
        <v>240</v>
      </c>
      <c r="F15" s="12" t="n">
        <f aca="false">SUM(C15:E15)</f>
        <v>720</v>
      </c>
    </row>
    <row r="16" customFormat="false" ht="15" hidden="false" customHeight="false" outlineLevel="0" collapsed="false">
      <c r="A16" s="7" t="s">
        <v>22</v>
      </c>
      <c r="B16" s="8" t="n">
        <v>100</v>
      </c>
      <c r="C16" s="12" t="n">
        <f aca="false">$B$16*12</f>
        <v>1200</v>
      </c>
      <c r="D16" s="12" t="n">
        <f aca="false">$B$16*12</f>
        <v>1200</v>
      </c>
      <c r="E16" s="12" t="n">
        <f aca="false">$B$16*12</f>
        <v>1200</v>
      </c>
      <c r="F16" s="12" t="n">
        <f aca="false">SUM(C16:E16)</f>
        <v>3600</v>
      </c>
      <c r="G16" s="2" t="s">
        <v>23</v>
      </c>
    </row>
    <row r="17" customFormat="false" ht="15" hidden="false" customHeight="false" outlineLevel="0" collapsed="false">
      <c r="A17" s="10" t="s">
        <v>24</v>
      </c>
      <c r="B17" s="11" t="n">
        <f aca="false">SUM(B11:B16)</f>
        <v>380</v>
      </c>
      <c r="C17" s="11" t="n">
        <f aca="false">SUM(C11:C16)</f>
        <v>4560</v>
      </c>
      <c r="D17" s="11" t="n">
        <f aca="false">SUM(D11:D16)</f>
        <v>4560</v>
      </c>
      <c r="E17" s="11" t="n">
        <f aca="false">SUM(E11:E16)</f>
        <v>4560</v>
      </c>
      <c r="F17" s="11" t="n">
        <f aca="false">SUM(F11:F16)</f>
        <v>13680</v>
      </c>
    </row>
    <row r="19" customFormat="false" ht="15" hidden="false" customHeight="false" outlineLevel="0" collapsed="false">
      <c r="A19" s="5" t="s">
        <v>25</v>
      </c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7" t="s">
        <v>26</v>
      </c>
      <c r="C20" s="8" t="n">
        <v>200</v>
      </c>
      <c r="F20" s="12" t="n">
        <f aca="false">SUM(C20:E20)</f>
        <v>200</v>
      </c>
    </row>
    <row r="21" customFormat="false" ht="15" hidden="false" customHeight="false" outlineLevel="0" collapsed="false">
      <c r="A21" s="7" t="s">
        <v>27</v>
      </c>
      <c r="C21" s="8" t="n">
        <v>3000</v>
      </c>
      <c r="F21" s="12" t="n">
        <f aca="false">SUM(C21:E21)</f>
        <v>3000</v>
      </c>
      <c r="G21" s="2" t="s">
        <v>28</v>
      </c>
    </row>
    <row r="22" customFormat="false" ht="15" hidden="false" customHeight="false" outlineLevel="0" collapsed="false">
      <c r="A22" s="7" t="s">
        <v>29</v>
      </c>
      <c r="C22" s="8" t="n">
        <v>3000</v>
      </c>
      <c r="F22" s="12" t="n">
        <f aca="false">SUM(C22:E22)</f>
        <v>3000</v>
      </c>
      <c r="G22" s="2" t="s">
        <v>30</v>
      </c>
    </row>
    <row r="23" customFormat="false" ht="15" hidden="false" customHeight="false" outlineLevel="0" collapsed="false">
      <c r="A23" s="7" t="s">
        <v>31</v>
      </c>
      <c r="C23" s="8" t="n">
        <v>500</v>
      </c>
      <c r="F23" s="12" t="n">
        <f aca="false">SUM(C23:E23)</f>
        <v>500</v>
      </c>
      <c r="G23" s="2" t="s">
        <v>32</v>
      </c>
    </row>
    <row r="24" customFormat="false" ht="15" hidden="false" customHeight="false" outlineLevel="0" collapsed="false">
      <c r="A24" s="10" t="s">
        <v>33</v>
      </c>
      <c r="C24" s="11" t="n">
        <f aca="false">SUM(C20:C23)</f>
        <v>6700</v>
      </c>
      <c r="D24" s="11" t="n">
        <f aca="false">SUM(D20:D23)</f>
        <v>0</v>
      </c>
      <c r="E24" s="11" t="n">
        <f aca="false">SUM(E20:E23)</f>
        <v>0</v>
      </c>
      <c r="F24" s="11" t="n">
        <f aca="false">SUM(F20:F23)</f>
        <v>6700</v>
      </c>
    </row>
    <row r="26" customFormat="false" ht="15" hidden="false" customHeight="false" outlineLevel="0" collapsed="false">
      <c r="A26" s="5" t="s">
        <v>34</v>
      </c>
      <c r="B26" s="13" t="n">
        <f aca="false">B8+B17</f>
        <v>1880</v>
      </c>
      <c r="C26" s="13" t="n">
        <f aca="false">C8+C17+C24</f>
        <v>29260</v>
      </c>
      <c r="D26" s="13" t="n">
        <f aca="false">D8+D17+D24</f>
        <v>22560</v>
      </c>
      <c r="E26" s="13" t="n">
        <f aca="false">E8+E17+E24</f>
        <v>22560</v>
      </c>
      <c r="F26" s="13" t="n">
        <f aca="false">F8+F17+F24</f>
        <v>74380</v>
      </c>
      <c r="G26" s="2" t="s">
        <v>35</v>
      </c>
    </row>
    <row r="27" customFormat="false" ht="15" hidden="false" customHeight="false" outlineLevel="0" collapsed="false">
      <c r="A27" s="7" t="s">
        <v>36</v>
      </c>
      <c r="B27" s="14" t="n">
        <v>0.3</v>
      </c>
      <c r="C27" s="12" t="n">
        <f aca="false">C26*$B$27</f>
        <v>8778</v>
      </c>
      <c r="D27" s="12" t="n">
        <f aca="false">D26*$B$27</f>
        <v>6768</v>
      </c>
      <c r="E27" s="12" t="n">
        <f aca="false">E26*$B$27</f>
        <v>6768</v>
      </c>
      <c r="F27" s="12" t="n">
        <f aca="false">F26*$B$27</f>
        <v>22314</v>
      </c>
      <c r="G27" s="2" t="s">
        <v>37</v>
      </c>
    </row>
    <row r="28" customFormat="false" ht="15" hidden="false" customHeight="false" outlineLevel="0" collapsed="false">
      <c r="A28" s="15" t="s">
        <v>38</v>
      </c>
      <c r="B28" s="16"/>
      <c r="C28" s="17" t="n">
        <f aca="false">C26+C27</f>
        <v>38038</v>
      </c>
      <c r="D28" s="17" t="n">
        <f aca="false">D26+D27</f>
        <v>29328</v>
      </c>
      <c r="E28" s="17" t="n">
        <f aca="false">E26+E27</f>
        <v>29328</v>
      </c>
      <c r="F28" s="17" t="n">
        <f aca="false">F26+F27</f>
        <v>96694</v>
      </c>
      <c r="G28" s="16"/>
    </row>
    <row r="30" customFormat="false" ht="15" hidden="false" customHeight="false" outlineLevel="0" collapsed="false">
      <c r="A30" s="18" t="s">
        <v>39</v>
      </c>
      <c r="B30" s="19"/>
      <c r="C30" s="19"/>
      <c r="D30" s="19"/>
      <c r="E30" s="19"/>
      <c r="F30" s="19"/>
      <c r="G30" s="19"/>
    </row>
    <row r="31" customFormat="false" ht="15" hidden="false" customHeight="false" outlineLevel="0" collapsed="false">
      <c r="A31" s="10" t="s">
        <v>40</v>
      </c>
      <c r="B31" s="20" t="n">
        <f aca="false">SUM(C28)</f>
        <v>38038</v>
      </c>
    </row>
    <row r="32" customFormat="false" ht="15" hidden="false" customHeight="false" outlineLevel="0" collapsed="false">
      <c r="A32" s="10" t="s">
        <v>41</v>
      </c>
      <c r="B32" s="20" t="n">
        <f aca="false">SUM(C28:D28)</f>
        <v>67366</v>
      </c>
    </row>
    <row r="33" customFormat="false" ht="15" hidden="false" customHeight="false" outlineLevel="0" collapsed="false">
      <c r="A33" s="10" t="s">
        <v>42</v>
      </c>
      <c r="B33" s="20" t="n">
        <f aca="false">SUM(C28:E28)</f>
        <v>96694</v>
      </c>
    </row>
    <row r="35" customFormat="false" ht="15" hidden="false" customHeight="false" outlineLevel="0" collapsed="false">
      <c r="A35" s="10" t="s">
        <v>43</v>
      </c>
      <c r="B35" s="11" t="n">
        <f aca="false">B26</f>
        <v>1880</v>
      </c>
    </row>
    <row r="36" customFormat="false" ht="15" hidden="false" customHeight="false" outlineLevel="0" collapsed="false">
      <c r="A36" s="7" t="s">
        <v>44</v>
      </c>
      <c r="B36" s="21" t="n">
        <f aca="false">IFERROR(10000/B35,0)</f>
        <v>5.31914893617021</v>
      </c>
      <c r="G36" s="2" t="s">
        <v>45</v>
      </c>
    </row>
    <row r="37" customFormat="false" ht="15" hidden="false" customHeight="false" outlineLevel="0" collapsed="false">
      <c r="A37" s="7" t="s">
        <v>46</v>
      </c>
      <c r="B37" s="21" t="n">
        <f aca="false">IFERROR(30000/B35,0)</f>
        <v>15.9574468085106</v>
      </c>
      <c r="G37" s="2"/>
    </row>
    <row r="38" customFormat="false" ht="15" hidden="false" customHeight="false" outlineLevel="0" collapsed="false">
      <c r="A38" s="7" t="s">
        <v>47</v>
      </c>
      <c r="B38" s="21" t="n">
        <f aca="false">IFERROR(40000/B35,0)</f>
        <v>21.2765957446809</v>
      </c>
      <c r="G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76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18" t="s">
        <v>2</v>
      </c>
      <c r="B4" s="18" t="s">
        <v>50</v>
      </c>
      <c r="C4" s="18" t="s">
        <v>51</v>
      </c>
      <c r="D4" s="18" t="s">
        <v>52</v>
      </c>
    </row>
    <row r="5" customFormat="false" ht="57.75" hidden="false" customHeight="true" outlineLevel="0" collapsed="false">
      <c r="A5" s="10" t="s">
        <v>53</v>
      </c>
      <c r="B5" s="7" t="s">
        <v>54</v>
      </c>
      <c r="C5" s="7" t="s">
        <v>55</v>
      </c>
      <c r="D5" s="22" t="s">
        <v>56</v>
      </c>
    </row>
    <row r="6" customFormat="false" ht="57.75" hidden="false" customHeight="true" outlineLevel="0" collapsed="false">
      <c r="A6" s="10" t="s">
        <v>22</v>
      </c>
      <c r="B6" s="7" t="s">
        <v>57</v>
      </c>
      <c r="C6" s="7" t="s">
        <v>58</v>
      </c>
      <c r="D6" s="22" t="s">
        <v>59</v>
      </c>
    </row>
    <row r="7" customFormat="false" ht="57.75" hidden="false" customHeight="true" outlineLevel="0" collapsed="false">
      <c r="A7" s="10" t="s">
        <v>31</v>
      </c>
      <c r="B7" s="7" t="s">
        <v>60</v>
      </c>
      <c r="C7" s="7" t="s">
        <v>61</v>
      </c>
      <c r="D7" s="22" t="s">
        <v>62</v>
      </c>
    </row>
    <row r="8" customFormat="false" ht="57.75" hidden="false" customHeight="true" outlineLevel="0" collapsed="false">
      <c r="A8" s="10" t="s">
        <v>27</v>
      </c>
      <c r="B8" s="7" t="s">
        <v>63</v>
      </c>
      <c r="C8" s="7" t="s">
        <v>64</v>
      </c>
      <c r="D8" s="22" t="s">
        <v>65</v>
      </c>
    </row>
    <row r="9" customFormat="false" ht="57.75" hidden="false" customHeight="true" outlineLevel="0" collapsed="false">
      <c r="A9" s="10" t="s">
        <v>66</v>
      </c>
      <c r="B9" s="7" t="s">
        <v>67</v>
      </c>
      <c r="C9" s="7" t="s">
        <v>68</v>
      </c>
      <c r="D9" s="22" t="s">
        <v>69</v>
      </c>
    </row>
    <row r="10" customFormat="false" ht="57.75" hidden="false" customHeight="true" outlineLevel="0" collapsed="false">
      <c r="A10" s="10" t="s">
        <v>19</v>
      </c>
      <c r="B10" s="7" t="s">
        <v>70</v>
      </c>
      <c r="C10" s="7" t="s">
        <v>71</v>
      </c>
      <c r="D10" s="22" t="s">
        <v>72</v>
      </c>
    </row>
    <row r="12" customFormat="false" ht="15" hidden="false" customHeight="false" outlineLevel="0" collapsed="false">
      <c r="A12" s="18" t="s">
        <v>73</v>
      </c>
      <c r="B12" s="19"/>
      <c r="C12" s="19"/>
      <c r="D12" s="19"/>
    </row>
    <row r="13" customFormat="false" ht="15" hidden="false" customHeight="false" outlineLevel="0" collapsed="false">
      <c r="A13" s="7" t="s">
        <v>74</v>
      </c>
      <c r="B13" s="12" t="n">
        <f aca="false">Budget!C21+Budget!C22</f>
        <v>6000</v>
      </c>
      <c r="D13" s="2" t="s">
        <v>75</v>
      </c>
    </row>
    <row r="14" customFormat="false" ht="15" hidden="false" customHeight="false" outlineLevel="0" collapsed="false">
      <c r="A14" s="23" t="s">
        <v>76</v>
      </c>
      <c r="B14" s="20" t="n">
        <f aca="false">Budget!F28+B13*2*(1+Budget!B27)</f>
        <v>112294</v>
      </c>
      <c r="D14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2026-08-10T17:56:48Z</dcterms:created>
  <dc:creator>openpyxl</dc:creator>
  <dc:description/>
  <dc:language>en-US</dc:language>
  <cp:lastModifiedBy/>
  <dcterms:modified xsi:type="dcterms:W3CDTF">2026-08-10T17:56:48Z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