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P&amp;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;($#,##0);-"/>
    <numFmt numFmtId="166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0A232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0A2320"/>
      <sz val="11"/>
    </font>
    <font>
      <name val="Arial"/>
      <b val="1"/>
      <color rgb="00006B70"/>
      <sz val="11"/>
    </font>
    <font>
      <name val="Arial"/>
      <b val="1"/>
      <color rgb="00006B70"/>
      <sz val="10"/>
    </font>
    <font>
      <name val="Arial"/>
      <b val="1"/>
      <color rgb="00C93B3B"/>
      <sz val="10"/>
    </font>
  </fonts>
  <fills count="6">
    <fill>
      <patternFill/>
    </fill>
    <fill>
      <patternFill patternType="gray125"/>
    </fill>
    <fill>
      <patternFill patternType="solid">
        <fgColor rgb="000A2320"/>
      </patternFill>
    </fill>
    <fill>
      <patternFill patternType="solid">
        <fgColor rgb="00FFFF00"/>
      </patternFill>
    </fill>
    <fill>
      <patternFill patternType="solid">
        <fgColor rgb="00C5A880"/>
      </patternFill>
    </fill>
    <fill>
      <patternFill patternType="solid">
        <fgColor rgb="00F1EE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  <xf numFmtId="3" fontId="6" fillId="0" borderId="0" pivotButton="0" quotePrefix="0" xfId="0"/>
    <xf numFmtId="165" fontId="5" fillId="3" borderId="1" pivotButton="0" quotePrefix="0" xfId="0"/>
    <xf numFmtId="165" fontId="6" fillId="0" borderId="0" pivotButton="0" quotePrefix="0" xfId="0"/>
    <xf numFmtId="0" fontId="7" fillId="4" borderId="0" pivotButton="0" quotePrefix="0" xfId="0"/>
    <xf numFmtId="165" fontId="7" fillId="4" borderId="0" pivotButton="0" quotePrefix="0" xfId="0"/>
    <xf numFmtId="0" fontId="0" fillId="4" borderId="0" pivotButton="0" quotePrefix="0" xfId="0"/>
    <xf numFmtId="165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4" borderId="0" pivotButton="0" quotePrefix="0" xfId="0"/>
    <xf numFmtId="164" fontId="6" fillId="0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center"/>
    </xf>
    <xf numFmtId="165" fontId="8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165" fontId="9" fillId="0" borderId="0" pivotButton="0" quotePrefix="0" xfId="0"/>
    <xf numFmtId="0" fontId="4" fillId="5" borderId="0" pivotButton="0" quotePrefix="0" xfId="0"/>
    <xf numFmtId="165" fontId="4" fillId="5" borderId="0" pivotButton="0" quotePrefix="0" xfId="0"/>
    <xf numFmtId="0" fontId="2" fillId="5" borderId="0" pivotButton="0" quotePrefix="0" xfId="0"/>
    <xf numFmtId="0" fontId="10" fillId="0" borderId="0" pivotButton="0" quotePrefix="0" xfId="0"/>
    <xf numFmtId="165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58" customWidth="1" min="5" max="5"/>
  </cols>
  <sheetData>
    <row r="1">
      <c r="A1" s="1" t="inlineStr">
        <is>
          <t>SAFRON — Revenue &amp; Return, at the assumptions as supplied</t>
        </is>
      </c>
    </row>
    <row r="2">
      <c r="A2" s="2" t="inlineStr">
        <is>
          <t>Static snapshot for reading. The Assumptions, Revenue and P&amp;L sheets are live — change a blue cell there and they recalculate.</t>
        </is>
      </c>
    </row>
    <row r="3">
      <c r="A3" s="2" t="inlineStr">
        <is>
          <t>Base: 500,000 tourists/yr, 90% in main season, adoption 5% / 30% / 50%.</t>
        </is>
      </c>
    </row>
    <row r="5">
      <c r="A5" s="3" t="inlineStr">
        <is>
          <t>MARKET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20" t="n"/>
    </row>
    <row r="6">
      <c r="A6" s="5" t="inlineStr">
        <is>
          <t>App users</t>
        </is>
      </c>
      <c r="B6" s="23" t="n">
        <v>22500</v>
      </c>
      <c r="C6" s="23" t="n">
        <v>135000</v>
      </c>
      <c r="D6" s="23" t="n">
        <v>225000</v>
      </c>
      <c r="E6" s="2" t="inlineStr">
        <is>
          <t>500,000 x 90% x adoption</t>
        </is>
      </c>
    </row>
    <row r="7">
      <c r="A7" s="3" t="inlineStr">
        <is>
          <t>REVENUE</t>
        </is>
      </c>
      <c r="B7" s="20" t="n"/>
      <c r="C7" s="20" t="n"/>
      <c r="D7" s="20" t="n"/>
      <c r="E7" s="20" t="n"/>
    </row>
    <row r="8">
      <c r="A8" s="8" t="inlineStr">
        <is>
          <t>Tourist booking commission</t>
        </is>
      </c>
      <c r="B8" s="11" t="n">
        <v>6480</v>
      </c>
      <c r="C8" s="11" t="n">
        <v>72900</v>
      </c>
      <c r="D8" s="11" t="n">
        <v>189000</v>
      </c>
      <c r="E8" s="2" t="inlineStr">
        <is>
          <t>users x conversion x $40-50 x 12%</t>
        </is>
      </c>
    </row>
    <row r="9">
      <c r="A9" s="8" t="inlineStr">
        <is>
          <t>Agency subscriptions</t>
        </is>
      </c>
      <c r="B9" s="11" t="n">
        <v>4800</v>
      </c>
      <c r="C9" s="11" t="n">
        <v>25200</v>
      </c>
      <c r="D9" s="11" t="n">
        <v>58800</v>
      </c>
      <c r="E9" s="2" t="inlineStr">
        <is>
          <t>8 / 35 / 70 agencies at $50-70 per month</t>
        </is>
      </c>
    </row>
    <row r="10">
      <c r="A10" s="8" t="inlineStr">
        <is>
          <t>Agency B2B wholesale fee</t>
        </is>
      </c>
      <c r="B10" s="11" t="n">
        <v>1440</v>
      </c>
      <c r="C10" s="11" t="n">
        <v>16800</v>
      </c>
      <c r="D10" s="11" t="n">
        <v>58800</v>
      </c>
      <c r="E10" s="2" t="inlineStr">
        <is>
          <t>agencies x B2B volume x 12%</t>
        </is>
      </c>
    </row>
    <row r="11">
      <c r="A11" s="8" t="inlineStr">
        <is>
          <t>Provider marketplace commission</t>
        </is>
      </c>
      <c r="B11" s="11" t="n">
        <v>2400</v>
      </c>
      <c r="C11" s="11" t="n">
        <v>21600</v>
      </c>
      <c r="D11" s="11" t="n">
        <v>75600</v>
      </c>
      <c r="E11" s="2" t="inlineStr">
        <is>
          <t>50 / 200 / 450 providers</t>
        </is>
      </c>
    </row>
    <row r="12">
      <c r="A12" s="8" t="inlineStr">
        <is>
          <t>eSIM / connectivity</t>
        </is>
      </c>
      <c r="B12" s="11" t="n">
        <v>6480</v>
      </c>
      <c r="C12" s="11" t="n">
        <v>64800</v>
      </c>
      <c r="D12" s="11" t="n">
        <v>151200</v>
      </c>
      <c r="E12" s="2" t="inlineStr">
        <is>
          <t>CONTINGENT — needs a telecom deal</t>
        </is>
      </c>
    </row>
    <row r="13">
      <c r="A13" s="8" t="inlineStr">
        <is>
          <t>E-Mehmon compliance fee</t>
        </is>
      </c>
      <c r="B13" s="11" t="n">
        <v>0</v>
      </c>
      <c r="C13" s="11" t="n">
        <v>22500</v>
      </c>
      <c r="D13" s="11" t="n">
        <v>75000</v>
      </c>
      <c r="E13" s="2" t="inlineStr">
        <is>
          <t>CONTINGENT — needs the government agreement</t>
        </is>
      </c>
    </row>
    <row r="14">
      <c r="A14" s="8" t="inlineStr">
        <is>
          <t>Sponsored placement</t>
        </is>
      </c>
      <c r="B14" s="11" t="n">
        <v>1200</v>
      </c>
      <c r="C14" s="11" t="n">
        <v>9000</v>
      </c>
      <c r="D14" s="11" t="n">
        <v>28000</v>
      </c>
      <c r="E14" s="2" t="inlineStr"/>
    </row>
    <row r="15">
      <c r="A15" s="12" t="inlineStr">
        <is>
          <t>TOTAL REVENUE</t>
        </is>
      </c>
      <c r="B15" s="13" t="n">
        <v>22800</v>
      </c>
      <c r="C15" s="13" t="n">
        <v>232800</v>
      </c>
      <c r="D15" s="13" t="n">
        <v>636400</v>
      </c>
      <c r="E15" s="18" t="inlineStr"/>
    </row>
    <row r="16">
      <c r="A16" s="24" t="inlineStr">
        <is>
          <t xml:space="preserve">  revenue you control</t>
        </is>
      </c>
      <c r="B16" s="25" t="n">
        <v>16320</v>
      </c>
      <c r="C16" s="25" t="n">
        <v>145500</v>
      </c>
      <c r="D16" s="25" t="n">
        <v>410200</v>
      </c>
      <c r="E16" s="2" t="inlineStr">
        <is>
          <t>No third party required. This is the number to defend.</t>
        </is>
      </c>
    </row>
    <row r="17">
      <c r="A17" s="8" t="inlineStr">
        <is>
          <t xml:space="preserve">  contingent on partner / state</t>
        </is>
      </c>
      <c r="B17" s="11" t="n">
        <v>6480</v>
      </c>
      <c r="C17" s="11" t="n">
        <v>87300</v>
      </c>
      <c r="D17" s="11" t="n">
        <v>226200</v>
      </c>
      <c r="E17" s="2" t="inlineStr">
        <is>
          <t>Neither agreement is signed yet.</t>
        </is>
      </c>
    </row>
    <row r="18">
      <c r="A18" s="3" t="inlineStr">
        <is>
          <t>COSTS</t>
        </is>
      </c>
      <c r="B18" s="20" t="n"/>
      <c r="C18" s="20" t="n"/>
      <c r="D18" s="20" t="n"/>
      <c r="E18" s="20" t="n"/>
    </row>
    <row r="19">
      <c r="A19" s="8" t="inlineStr">
        <is>
          <t>Variable / COGS</t>
        </is>
      </c>
      <c r="B19" s="11" t="n">
        <v>-3420</v>
      </c>
      <c r="C19" s="11" t="n">
        <v>-34920</v>
      </c>
      <c r="D19" s="11" t="n">
        <v>-89096</v>
      </c>
      <c r="E19" s="2" t="inlineStr">
        <is>
          <t>15% / 15% / 14% of revenue</t>
        </is>
      </c>
    </row>
    <row r="20">
      <c r="A20" s="8" t="inlineStr">
        <is>
          <t>Sales &amp; marketing</t>
        </is>
      </c>
      <c r="B20" s="11" t="n">
        <v>-5700</v>
      </c>
      <c r="C20" s="11" t="n">
        <v>-46560</v>
      </c>
      <c r="D20" s="11" t="n">
        <v>-114552</v>
      </c>
      <c r="E20" s="2" t="inlineStr">
        <is>
          <t>25% / 20% / 18% of revenue</t>
        </is>
      </c>
    </row>
    <row r="21">
      <c r="A21" s="8" t="inlineStr">
        <is>
          <t>Fixed (3 founders + tools)</t>
        </is>
      </c>
      <c r="B21" s="11" t="n">
        <v>-38038</v>
      </c>
      <c r="C21" s="11" t="n">
        <v>-29328</v>
      </c>
      <c r="D21" s="11" t="n">
        <v>-29328</v>
      </c>
      <c r="E21" s="2" t="inlineStr">
        <is>
          <t>From SAFRON_Budget.xlsx</t>
        </is>
      </c>
    </row>
    <row r="22">
      <c r="A22" s="8" t="inlineStr">
        <is>
          <t>Additional staff</t>
        </is>
      </c>
      <c r="B22" s="11" t="n">
        <v>0</v>
      </c>
      <c r="C22" s="11" t="n">
        <v>-19200</v>
      </c>
      <c r="D22" s="11" t="n">
        <v>-48000</v>
      </c>
      <c r="E22" s="2" t="inlineStr">
        <is>
          <t>0 / 2 / 5 hires at $800 per month</t>
        </is>
      </c>
    </row>
    <row r="23">
      <c r="A23" s="12" t="inlineStr">
        <is>
          <t>NET PROFIT / (LOSS)</t>
        </is>
      </c>
      <c r="B23" s="13" t="n">
        <v>-24358</v>
      </c>
      <c r="C23" s="13" t="n">
        <v>102792</v>
      </c>
      <c r="D23" s="13" t="n">
        <v>355424</v>
      </c>
      <c r="E23" s="18" t="inlineStr"/>
    </row>
    <row r="24">
      <c r="A24" s="26" t="inlineStr">
        <is>
          <t>Cumulative</t>
        </is>
      </c>
      <c r="B24" s="27" t="n">
        <v>-24358</v>
      </c>
      <c r="C24" s="27" t="n">
        <v>78434</v>
      </c>
      <c r="D24" s="27" t="n">
        <v>433858</v>
      </c>
      <c r="E24" s="28" t="inlineStr">
        <is>
          <t>Break-even around month 15</t>
        </is>
      </c>
    </row>
    <row r="25">
      <c r="A25" s="3" t="inlineStr">
        <is>
          <t>WHAT THE INVESTOR GETS ON $10,000</t>
        </is>
      </c>
      <c r="B25" s="20" t="n"/>
      <c r="C25" s="20" t="n"/>
      <c r="D25" s="20" t="n"/>
      <c r="E25" s="20" t="n"/>
    </row>
    <row r="26">
      <c r="A26" s="29" t="inlineStr">
        <is>
          <t>His offer — 50% of revenue</t>
        </is>
      </c>
      <c r="B26" s="30" t="n">
        <v>-11400</v>
      </c>
      <c r="C26" s="30" t="n">
        <v>-116400</v>
      </c>
      <c r="D26" s="30" t="n">
        <v>-318200</v>
      </c>
      <c r="E26" s="2" t="inlineStr">
        <is>
          <t>3-year total to him: $446,000, and it never stops</t>
        </is>
      </c>
    </row>
    <row r="27">
      <c r="A27" s="24" t="inlineStr">
        <is>
          <t>Counter — 7% capped at 2.0x</t>
        </is>
      </c>
      <c r="B27" s="25" t="n">
        <v>-1596</v>
      </c>
      <c r="C27" s="25" t="n">
        <v>-16296</v>
      </c>
      <c r="D27" s="25" t="n">
        <v>-2108</v>
      </c>
      <c r="E27" s="2" t="inlineStr">
        <is>
          <t>3-year total to him: $20,000, then it ends</t>
        </is>
      </c>
    </row>
    <row r="28">
      <c r="A28" s="29" t="inlineStr">
        <is>
          <t>YOU keep under his offer</t>
        </is>
      </c>
      <c r="B28" s="30" t="n">
        <v>-35758</v>
      </c>
      <c r="C28" s="30" t="n">
        <v>-13608</v>
      </c>
      <c r="D28" s="30" t="n">
        <v>37224</v>
      </c>
      <c r="E28" s="2" t="inlineStr">
        <is>
          <t>Negative in years 1 and 2</t>
        </is>
      </c>
    </row>
    <row r="29">
      <c r="A29" s="24" t="inlineStr">
        <is>
          <t>YOU keep under the counter</t>
        </is>
      </c>
      <c r="B29" s="25" t="n">
        <v>-25954</v>
      </c>
      <c r="C29" s="25" t="n">
        <v>86496</v>
      </c>
      <c r="D29" s="25" t="n">
        <v>353316</v>
      </c>
      <c r="E29" s="2" t="inlineStr">
        <is>
          <t>The gap is what the structure is worth</t>
        </is>
      </c>
    </row>
    <row r="31">
      <c r="A31" s="2" t="inlineStr">
        <is>
          <t>Market fact: 236 licensed tour operators nationally, ~186 in Tashkent city (official state registry, uzbekistan.travel).</t>
        </is>
      </c>
    </row>
    <row r="32">
      <c r="A32" s="2" t="inlineStr">
        <is>
          <t>70 paying agencies in Year 3 = 30% of the entire licensed market. Treat anything above that as optimistic.</t>
        </is>
      </c>
    </row>
    <row r="33">
      <c r="A33" s="2" t="inlineStr">
        <is>
          <t>Net margin reaches 56% by Year 3. That is high for a marketplace — dial up Sales &amp; marketing or Additional staff on the Assumptions sheet until it looks like a real company.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70" customWidth="1" min="5" max="5"/>
  </cols>
  <sheetData>
    <row r="1">
      <c r="A1" s="1" t="inlineStr">
        <is>
          <t>Revenue Assumptions</t>
        </is>
      </c>
    </row>
    <row r="2">
      <c r="A2" s="2" t="inlineStr">
        <is>
          <t>Blue = your input. Everything else calculates. Change any blue cell and the whole model moves.</t>
        </is>
      </c>
    </row>
    <row r="4">
      <c r="A4" s="3" t="inlineStr">
        <is>
          <t>MARKET &amp; ADOPTION</t>
        </is>
      </c>
      <c r="B4" s="4" t="inlineStr">
        <is>
          <t>Year 1</t>
        </is>
      </c>
      <c r="C4" s="4" t="inlineStr">
        <is>
          <t>Year 2</t>
        </is>
      </c>
      <c r="D4" s="4" t="inlineStr">
        <is>
          <t>Year 3</t>
        </is>
      </c>
      <c r="E4" s="3" t="inlineStr">
        <is>
          <t>Basis</t>
        </is>
      </c>
    </row>
    <row r="5">
      <c r="A5" s="5" t="inlineStr">
        <is>
          <t>Tourists per year</t>
        </is>
      </c>
      <c r="B5" s="6" t="n">
        <v>500000</v>
      </c>
      <c r="C5" s="6" t="n">
        <v>500000</v>
      </c>
      <c r="D5" s="6" t="n">
        <v>500000</v>
      </c>
      <c r="E5" s="2" t="inlineStr">
        <is>
          <t>Your figure. Note: national arrivals were 11.7M in 2025 — 500k is a narrower, more defensible "addressable foreign tourist" base.</t>
        </is>
      </c>
    </row>
    <row r="6">
      <c r="A6" s="5" t="inlineStr">
        <is>
          <t>Share arriving in main season</t>
        </is>
      </c>
      <c r="B6" s="7" t="n">
        <v>0.9</v>
      </c>
      <c r="C6" s="7" t="n">
        <v>0.9</v>
      </c>
      <c r="D6" s="7" t="n">
        <v>0.9</v>
      </c>
      <c r="E6" s="2" t="inlineStr">
        <is>
          <t>Your figure: 450k of 500k.</t>
        </is>
      </c>
    </row>
    <row r="7">
      <c r="A7" s="5" t="inlineStr">
        <is>
          <t>App adoption rate</t>
        </is>
      </c>
      <c r="B7" s="7" t="n">
        <v>0.05</v>
      </c>
      <c r="C7" s="7" t="n">
        <v>0.3</v>
      </c>
      <c r="D7" s="7" t="n">
        <v>0.5</v>
      </c>
      <c r="E7" s="2" t="inlineStr">
        <is>
          <t>Your plan: 5% / 30% / 50%.</t>
        </is>
      </c>
    </row>
    <row r="8">
      <c r="A8" s="8" t="inlineStr">
        <is>
          <t>App users</t>
        </is>
      </c>
      <c r="B8" s="9">
        <f>B5*B6*B7</f>
        <v/>
      </c>
      <c r="C8" s="9">
        <f>C5*C6*C7</f>
        <v/>
      </c>
      <c r="D8" s="9">
        <f>D5*D6*D7</f>
        <v/>
      </c>
      <c r="E8" s="2" t="inlineStr">
        <is>
          <t>tourists x season share x adoption</t>
        </is>
      </c>
    </row>
    <row r="9">
      <c r="A9" s="3" t="inlineStr">
        <is>
          <t>MARKETPLACE BOOKINGS</t>
        </is>
      </c>
      <c r="B9" s="4" t="inlineStr">
        <is>
          <t>Year 1</t>
        </is>
      </c>
      <c r="C9" s="4" t="inlineStr">
        <is>
          <t>Year 2</t>
        </is>
      </c>
      <c r="D9" s="4" t="inlineStr">
        <is>
          <t>Year 3</t>
        </is>
      </c>
      <c r="E9" s="3" t="inlineStr">
        <is>
          <t>Basis</t>
        </is>
      </c>
    </row>
    <row r="10">
      <c r="A10" s="5" t="inlineStr">
        <is>
          <t>Booking conversion of app users</t>
        </is>
      </c>
      <c r="B10" s="7" t="n">
        <v>0.06</v>
      </c>
      <c r="C10" s="7" t="n">
        <v>0.1</v>
      </c>
      <c r="D10" s="7" t="n">
        <v>0.14</v>
      </c>
      <c r="E10" s="2" t="inlineStr">
        <is>
          <t>Share of users who book at least once. Conservative: most travel apps convert 5-15%.</t>
        </is>
      </c>
    </row>
    <row r="11">
      <c r="A11" s="5" t="inlineStr">
        <is>
          <t>Average booking value</t>
        </is>
      </c>
      <c r="B11" s="10" t="n">
        <v>40</v>
      </c>
      <c r="C11" s="10" t="n">
        <v>45</v>
      </c>
      <c r="D11" s="10" t="n">
        <v>50</v>
      </c>
      <c r="E11" s="2" t="inlineStr">
        <is>
          <t>Masterclass, yurt stay, guided experience. Typical rural experience pricing.</t>
        </is>
      </c>
    </row>
    <row r="12">
      <c r="A12" s="5" t="inlineStr">
        <is>
          <t>Platform take rate</t>
        </is>
      </c>
      <c r="B12" s="7" t="n">
        <v>0.12</v>
      </c>
      <c r="C12" s="7" t="n">
        <v>0.12</v>
      </c>
      <c r="D12" s="7" t="n">
        <v>0.12</v>
      </c>
      <c r="E12" s="2" t="inlineStr">
        <is>
          <t>Midpoint of the 10-15% in your PRD.</t>
        </is>
      </c>
    </row>
    <row r="13">
      <c r="A13" s="3" t="inlineStr">
        <is>
          <t>AGENCIES  (B2B)</t>
        </is>
      </c>
      <c r="B13" s="4" t="inlineStr">
        <is>
          <t>Year 1</t>
        </is>
      </c>
      <c r="C13" s="4" t="inlineStr">
        <is>
          <t>Year 2</t>
        </is>
      </c>
      <c r="D13" s="4" t="inlineStr">
        <is>
          <t>Year 3</t>
        </is>
      </c>
      <c r="E13" s="3" t="inlineStr">
        <is>
          <t>Basis</t>
        </is>
      </c>
    </row>
    <row r="14">
      <c r="A14" s="5" t="inlineStr">
        <is>
          <t>Licensed tour operators nationally</t>
        </is>
      </c>
      <c r="B14" s="6" t="n">
        <v>236</v>
      </c>
      <c r="C14" s="6" t="n">
        <v>236</v>
      </c>
      <c r="D14" s="6" t="n">
        <v>236</v>
      </c>
      <c r="E14" s="2" t="inlineStr">
        <is>
          <t>REAL: official state registry, uzbekistan.travel. ~186 of these are Tashkent city.</t>
        </is>
      </c>
    </row>
    <row r="15">
      <c r="A15" s="5" t="inlineStr">
        <is>
          <t>Paying agencies</t>
        </is>
      </c>
      <c r="B15" s="6" t="n">
        <v>8</v>
      </c>
      <c r="C15" s="6" t="n">
        <v>35</v>
      </c>
      <c r="D15" s="6" t="n">
        <v>70</v>
      </c>
      <c r="E15" s="2" t="inlineStr">
        <is>
          <t>Y3 = 30% of the entire licensed market. Above that is optimistic.</t>
        </is>
      </c>
    </row>
    <row r="16">
      <c r="A16" s="5" t="inlineStr">
        <is>
          <t>Agency subscription / month</t>
        </is>
      </c>
      <c r="B16" s="10" t="n">
        <v>50</v>
      </c>
      <c r="C16" s="10" t="n">
        <v>60</v>
      </c>
      <c r="D16" s="10" t="n">
        <v>70</v>
      </c>
      <c r="E16" s="2" t="inlineStr">
        <is>
          <t>Local pricing. A Tashkent DMC will not pay US SaaS rates.</t>
        </is>
      </c>
    </row>
    <row r="17">
      <c r="A17" s="5" t="inlineStr">
        <is>
          <t>B2B booking volume per agency / yr</t>
        </is>
      </c>
      <c r="B17" s="10" t="n">
        <v>1500</v>
      </c>
      <c r="C17" s="10" t="n">
        <v>4000</v>
      </c>
      <c r="D17" s="10" t="n">
        <v>7000</v>
      </c>
      <c r="E17" s="2" t="inlineStr">
        <is>
          <t>GMV each agency books through your provider inventory.</t>
        </is>
      </c>
    </row>
    <row r="18">
      <c r="A18" s="3" t="inlineStr">
        <is>
          <t>PROVIDERS</t>
        </is>
      </c>
      <c r="B18" s="4" t="inlineStr">
        <is>
          <t>Year 1</t>
        </is>
      </c>
      <c r="C18" s="4" t="inlineStr">
        <is>
          <t>Year 2</t>
        </is>
      </c>
      <c r="D18" s="4" t="inlineStr">
        <is>
          <t>Year 3</t>
        </is>
      </c>
      <c r="E18" s="3" t="inlineStr">
        <is>
          <t>Basis</t>
        </is>
      </c>
    </row>
    <row r="19">
      <c r="A19" s="5" t="inlineStr">
        <is>
          <t>Onboarded providers</t>
        </is>
      </c>
      <c r="B19" s="6" t="n">
        <v>50</v>
      </c>
      <c r="C19" s="6" t="n">
        <v>200</v>
      </c>
      <c r="D19" s="6" t="n">
        <v>450</v>
      </c>
      <c r="E19" s="2" t="inlineStr">
        <is>
          <t>Deck slide 18 targets 50 in the pilot year.</t>
        </is>
      </c>
    </row>
    <row r="20">
      <c r="A20" s="5" t="inlineStr">
        <is>
          <t>Avg bookings value per provider / yr</t>
        </is>
      </c>
      <c r="B20" s="10" t="n">
        <v>400</v>
      </c>
      <c r="C20" s="10" t="n">
        <v>900</v>
      </c>
      <c r="D20" s="10" t="n">
        <v>1400</v>
      </c>
      <c r="E20" s="2" t="inlineStr">
        <is>
          <t>Rural provider volume. Deliberately low.</t>
        </is>
      </c>
    </row>
    <row r="21">
      <c r="A21" s="3" t="inlineStr">
        <is>
          <t>OTHER STREAMS</t>
        </is>
      </c>
      <c r="B21" s="4" t="inlineStr">
        <is>
          <t>Year 1</t>
        </is>
      </c>
      <c r="C21" s="4" t="inlineStr">
        <is>
          <t>Year 2</t>
        </is>
      </c>
      <c r="D21" s="4" t="inlineStr">
        <is>
          <t>Year 3</t>
        </is>
      </c>
      <c r="E21" s="3" t="inlineStr">
        <is>
          <t>Basis</t>
        </is>
      </c>
    </row>
    <row r="22">
      <c r="A22" s="5" t="inlineStr">
        <is>
          <t>eSIM attach rate</t>
        </is>
      </c>
      <c r="B22" s="7" t="n">
        <v>0.06</v>
      </c>
      <c r="C22" s="7" t="n">
        <v>0.1</v>
      </c>
      <c r="D22" s="7" t="n">
        <v>0.14</v>
      </c>
      <c r="E22" s="2" t="inlineStr">
        <is>
          <t>Share of app users buying a data plan.</t>
        </is>
      </c>
    </row>
    <row r="23">
      <c r="A23" s="5" t="inlineStr">
        <is>
          <t>eSIM revenue per sale</t>
        </is>
      </c>
      <c r="B23" s="10" t="n">
        <v>12</v>
      </c>
      <c r="C23" s="10" t="n">
        <v>12</v>
      </c>
      <c r="D23" s="10" t="n">
        <v>12</v>
      </c>
      <c r="E23" s="2" t="inlineStr">
        <is>
          <t>Retail price.</t>
        </is>
      </c>
    </row>
    <row r="24">
      <c r="A24" s="5" t="inlineStr">
        <is>
          <t>eSIM margin</t>
        </is>
      </c>
      <c r="B24" s="7" t="n">
        <v>0.4</v>
      </c>
      <c r="C24" s="7" t="n">
        <v>0.4</v>
      </c>
      <c r="D24" s="7" t="n">
        <v>0.4</v>
      </c>
      <c r="E24" s="2" t="inlineStr">
        <is>
          <t>Reseller margin.</t>
        </is>
      </c>
    </row>
    <row r="25">
      <c r="A25" s="5" t="inlineStr">
        <is>
          <t>E-Mehmon registrations handled</t>
        </is>
      </c>
      <c r="B25" s="6" t="n">
        <v>0</v>
      </c>
      <c r="C25" s="6" t="n">
        <v>15000</v>
      </c>
      <c r="D25" s="6" t="n">
        <v>50000</v>
      </c>
      <c r="E25" s="2" t="inlineStr">
        <is>
          <t>Needs the government agreement. Zero in Y1 by design.</t>
        </is>
      </c>
    </row>
    <row r="26">
      <c r="A26" s="5" t="inlineStr">
        <is>
          <t>Fee per registration</t>
        </is>
      </c>
      <c r="B26" s="10" t="n">
        <v>1.5</v>
      </c>
      <c r="C26" s="10" t="n">
        <v>1.5</v>
      </c>
      <c r="D26" s="10" t="n">
        <v>1.5</v>
      </c>
      <c r="E26" s="2" t="inlineStr">
        <is>
          <t>Blueprint proposes $1-2.</t>
        </is>
      </c>
    </row>
    <row r="27">
      <c r="A27" s="5" t="inlineStr">
        <is>
          <t>Sponsored placement revenue</t>
        </is>
      </c>
      <c r="B27" s="10" t="n">
        <v>1200</v>
      </c>
      <c r="C27" s="10" t="n">
        <v>9000</v>
      </c>
      <c r="D27" s="10" t="n">
        <v>28000</v>
      </c>
      <c r="E27" s="2" t="inlineStr">
        <is>
          <t>Paid prominence for cafes and experiences.</t>
        </is>
      </c>
    </row>
    <row r="28">
      <c r="A28" s="3" t="inlineStr">
        <is>
          <t>COSTS</t>
        </is>
      </c>
      <c r="B28" s="4" t="inlineStr">
        <is>
          <t>Year 1</t>
        </is>
      </c>
      <c r="C28" s="4" t="inlineStr">
        <is>
          <t>Year 2</t>
        </is>
      </c>
      <c r="D28" s="4" t="inlineStr">
        <is>
          <t>Year 3</t>
        </is>
      </c>
      <c r="E28" s="3" t="inlineStr">
        <is>
          <t>Basis</t>
        </is>
      </c>
    </row>
    <row r="29">
      <c r="A29" s="5" t="inlineStr">
        <is>
          <t>Fixed costs (from budget)</t>
        </is>
      </c>
      <c r="B29" s="10" t="n">
        <v>38038</v>
      </c>
      <c r="C29" s="10" t="n">
        <v>29328</v>
      </c>
      <c r="D29" s="10" t="n">
        <v>29328</v>
      </c>
      <c r="E29" s="2" t="inlineStr">
        <is>
          <t>From SAFRON_Budget.xlsx, buffered at 30%.</t>
        </is>
      </c>
    </row>
    <row r="30">
      <c r="A30" s="5" t="inlineStr">
        <is>
          <t>Variable cost / COGS as % of revenue</t>
        </is>
      </c>
      <c r="B30" s="7" t="n">
        <v>0.15</v>
      </c>
      <c r="C30" s="7" t="n">
        <v>0.15</v>
      </c>
      <c r="D30" s="7" t="n">
        <v>0.14</v>
      </c>
      <c r="E30" s="2" t="inlineStr">
        <is>
          <t>Payment processing, cloud, first-line support.</t>
        </is>
      </c>
    </row>
    <row r="31">
      <c r="A31" s="5" t="inlineStr">
        <is>
          <t>Sales &amp; marketing as % of revenue</t>
        </is>
      </c>
      <c r="B31" s="7" t="n">
        <v>0.25</v>
      </c>
      <c r="C31" s="7" t="n">
        <v>0.2</v>
      </c>
      <c r="D31" s="7" t="n">
        <v>0.18</v>
      </c>
      <c r="E31" s="2" t="inlineStr">
        <is>
          <t>Acquiring 225k users and 70 agencies is not free. Investors expect to see this line.</t>
        </is>
      </c>
    </row>
    <row r="32">
      <c r="A32" s="5" t="inlineStr">
        <is>
          <t>Additional staff beyond the 3 founders</t>
        </is>
      </c>
      <c r="B32" s="6" t="n">
        <v>0</v>
      </c>
      <c r="C32" s="6" t="n">
        <v>2</v>
      </c>
      <c r="D32" s="6" t="n">
        <v>5</v>
      </c>
      <c r="E32" s="2" t="inlineStr">
        <is>
          <t>You cannot serve 225,000 users and 70 agencies with three people.</t>
        </is>
      </c>
    </row>
    <row r="33">
      <c r="A33" s="5" t="inlineStr">
        <is>
          <t>Cost per additional staff / year</t>
        </is>
      </c>
      <c r="B33" s="10" t="n">
        <v>9600</v>
      </c>
      <c r="C33" s="10" t="n">
        <v>9600</v>
      </c>
      <c r="D33" s="10" t="n">
        <v>9600</v>
      </c>
      <c r="E33" s="2" t="inlineStr">
        <is>
          <t>$800/mo. Below Tashkent IT market (~$1,450/mo) but above founder stipend.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62" customWidth="1" min="5" max="5"/>
  </cols>
  <sheetData>
    <row r="1">
      <c r="A1" s="1" t="inlineStr">
        <is>
          <t>Revenue Build</t>
        </is>
      </c>
    </row>
    <row r="3">
      <c r="A3" s="3" t="inlineStr">
        <is>
          <t>Stream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How it is calculated</t>
        </is>
      </c>
    </row>
    <row r="4">
      <c r="A4" s="8" t="inlineStr">
        <is>
          <t>Tourist booking commission</t>
        </is>
      </c>
      <c r="B4" s="11">
        <f>Assumptions!B8*Assumptions!B10*Assumptions!B11*Assumptions!B12</f>
        <v/>
      </c>
      <c r="C4" s="11">
        <f>Assumptions!C8*Assumptions!C10*Assumptions!C11*Assumptions!C12</f>
        <v/>
      </c>
      <c r="D4" s="11">
        <f>Assumptions!D8*Assumptions!D10*Assumptions!D11*Assumptions!D12</f>
        <v/>
      </c>
      <c r="E4" s="2" t="inlineStr">
        <is>
          <t>users x conversion x avg value x take rate</t>
        </is>
      </c>
    </row>
    <row r="5">
      <c r="A5" s="8" t="inlineStr">
        <is>
          <t>Agency subscriptions</t>
        </is>
      </c>
      <c r="B5" s="11">
        <f>Assumptions!B15*Assumptions!B16*12</f>
        <v/>
      </c>
      <c r="C5" s="11">
        <f>Assumptions!C15*Assumptions!C16*12</f>
        <v/>
      </c>
      <c r="D5" s="11">
        <f>Assumptions!D15*Assumptions!D16*12</f>
        <v/>
      </c>
      <c r="E5" s="2" t="inlineStr">
        <is>
          <t>paying agencies x monthly price x 12</t>
        </is>
      </c>
    </row>
    <row r="6">
      <c r="A6" s="8" t="inlineStr">
        <is>
          <t>Agency B2B wholesale fee</t>
        </is>
      </c>
      <c r="B6" s="11">
        <f>Assumptions!B15*Assumptions!B17*Assumptions!B12</f>
        <v/>
      </c>
      <c r="C6" s="11">
        <f>Assumptions!C15*Assumptions!C17*Assumptions!C12</f>
        <v/>
      </c>
      <c r="D6" s="11">
        <f>Assumptions!D15*Assumptions!D17*Assumptions!D12</f>
        <v/>
      </c>
      <c r="E6" s="2" t="inlineStr">
        <is>
          <t>agencies x B2B volume each x take rate</t>
        </is>
      </c>
    </row>
    <row r="7">
      <c r="A7" s="8" t="inlineStr">
        <is>
          <t>Provider marketplace commission</t>
        </is>
      </c>
      <c r="B7" s="11">
        <f>Assumptions!B19*Assumptions!B20*Assumptions!B12</f>
        <v/>
      </c>
      <c r="C7" s="11">
        <f>Assumptions!C19*Assumptions!C20*Assumptions!C12</f>
        <v/>
      </c>
      <c r="D7" s="11">
        <f>Assumptions!D19*Assumptions!D20*Assumptions!D12</f>
        <v/>
      </c>
      <c r="E7" s="2" t="inlineStr">
        <is>
          <t>providers x annual bookings each x take rate</t>
        </is>
      </c>
    </row>
    <row r="8">
      <c r="A8" s="8" t="inlineStr">
        <is>
          <t>eSIM / connectivity</t>
        </is>
      </c>
      <c r="B8" s="11">
        <f>Assumptions!B8*Assumptions!B22*Assumptions!B23*Assumptions!B24</f>
        <v/>
      </c>
      <c r="C8" s="11">
        <f>Assumptions!C8*Assumptions!C22*Assumptions!C23*Assumptions!C24</f>
        <v/>
      </c>
      <c r="D8" s="11">
        <f>Assumptions!D8*Assumptions!D22*Assumptions!D23*Assumptions!D24</f>
        <v/>
      </c>
      <c r="E8" s="2" t="inlineStr">
        <is>
          <t>CONTINGENT — needs a telecom reseller agreement.</t>
        </is>
      </c>
    </row>
    <row r="9">
      <c r="A9" s="8" t="inlineStr">
        <is>
          <t>E-Mehmon compliance fee</t>
        </is>
      </c>
      <c r="B9" s="11">
        <f>Assumptions!B25*Assumptions!B26</f>
        <v/>
      </c>
      <c r="C9" s="11">
        <f>Assumptions!C25*Assumptions!C26</f>
        <v/>
      </c>
      <c r="D9" s="11">
        <f>Assumptions!D25*Assumptions!D26</f>
        <v/>
      </c>
      <c r="E9" s="2" t="inlineStr">
        <is>
          <t>CONTINGENT — needs the government agreement.</t>
        </is>
      </c>
    </row>
    <row r="10">
      <c r="A10" s="8" t="inlineStr">
        <is>
          <t>Sponsored placement</t>
        </is>
      </c>
      <c r="B10" s="11">
        <f>Assumptions!B27</f>
        <v/>
      </c>
      <c r="C10" s="11">
        <f>Assumptions!C27</f>
        <v/>
      </c>
      <c r="D10" s="11">
        <f>Assumptions!D27</f>
        <v/>
      </c>
      <c r="E10" s="2" t="inlineStr">
        <is>
          <t>direct input</t>
        </is>
      </c>
    </row>
    <row r="11">
      <c r="A11" s="12" t="inlineStr">
        <is>
          <t>TOTAL REVENUE</t>
        </is>
      </c>
      <c r="B11" s="13">
        <f>SUM(B4:B10)</f>
        <v/>
      </c>
      <c r="C11" s="13">
        <f>SUM(C4:C10)</f>
        <v/>
      </c>
      <c r="D11" s="13">
        <f>SUM(D4:D10)</f>
        <v/>
      </c>
      <c r="E11" s="14" t="n"/>
    </row>
    <row r="13">
      <c r="A13" s="5" t="inlineStr">
        <is>
          <t xml:space="preserve">  of which: revenue you control</t>
        </is>
      </c>
      <c r="B13" s="15">
        <f>SUM(B4:B7)+B10</f>
        <v/>
      </c>
      <c r="C13" s="15">
        <f>SUM(C4:C7)+C10</f>
        <v/>
      </c>
      <c r="D13" s="15">
        <f>SUM(D4:D7)+D10</f>
        <v/>
      </c>
      <c r="E13" s="2" t="inlineStr">
        <is>
          <t>Bookings, agency SaaS, B2B fees, provider commission, sponsorship. No third party required.</t>
        </is>
      </c>
    </row>
    <row r="14">
      <c r="A14" s="8" t="inlineStr">
        <is>
          <t xml:space="preserve">  of which: contingent on a partner or the state</t>
        </is>
      </c>
      <c r="B14" s="16">
        <f>B8+B9</f>
        <v/>
      </c>
      <c r="C14" s="16">
        <f>C8+C9</f>
        <v/>
      </c>
      <c r="D14" s="16">
        <f>D8+D9</f>
        <v/>
      </c>
      <c r="E14" s="2" t="inlineStr">
        <is>
          <t>eSIM needs a telecom deal; compliance needs the government agreement. Neither is signed.</t>
        </is>
      </c>
    </row>
    <row r="16">
      <c r="A16" s="8" t="inlineStr">
        <is>
          <t>Revenue per app user</t>
        </is>
      </c>
      <c r="B16" s="17">
        <f>IFERROR(B11/Assumptions!B8,0)</f>
        <v/>
      </c>
      <c r="C16" s="17">
        <f>IFERROR(C11/Assumptions!C8,0)</f>
        <v/>
      </c>
      <c r="D16" s="17">
        <f>IFERROR(D11/Assumptions!D8,0)</f>
        <v/>
      </c>
      <c r="E16" s="2" t="inlineStr">
        <is>
          <t>Sanity check. If this exceeds ~$5 the model is probably too optimistic.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62" customWidth="1" min="5" max="5"/>
  </cols>
  <sheetData>
    <row r="1">
      <c r="A1" s="1" t="inlineStr">
        <is>
          <t>Profit &amp; Loss and Payback</t>
        </is>
      </c>
    </row>
    <row r="3">
      <c r="A3" s="3" t="inlineStr"/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  <c r="E3" s="3" t="inlineStr">
        <is>
          <t>Note</t>
        </is>
      </c>
    </row>
    <row r="4">
      <c r="A4" s="5" t="inlineStr">
        <is>
          <t>Revenue</t>
        </is>
      </c>
      <c r="B4" s="15">
        <f>Revenue!B11</f>
        <v/>
      </c>
      <c r="C4" s="15">
        <f>Revenue!C11</f>
        <v/>
      </c>
      <c r="D4" s="15">
        <f>Revenue!D11</f>
        <v/>
      </c>
      <c r="E4" s="2" t="inlineStr">
        <is>
          <t>From Revenue sheet.</t>
        </is>
      </c>
    </row>
    <row r="5">
      <c r="A5" s="8" t="inlineStr">
        <is>
          <t>Variable costs</t>
        </is>
      </c>
      <c r="B5" s="11">
        <f>-Revenue!B11*Assumptions!B30</f>
        <v/>
      </c>
      <c r="C5" s="11">
        <f>-Revenue!C11*Assumptions!C30</f>
        <v/>
      </c>
      <c r="D5" s="11">
        <f>-Revenue!D11*Assumptions!D30</f>
        <v/>
      </c>
      <c r="E5" s="2" t="inlineStr">
        <is>
          <t>Payment processing, support, scaling.</t>
        </is>
      </c>
    </row>
    <row r="6">
      <c r="A6" s="8" t="inlineStr">
        <is>
          <t>Sales &amp; marketing</t>
        </is>
      </c>
      <c r="B6" s="11">
        <f>-Revenue!B11*Assumptions!B31</f>
        <v/>
      </c>
      <c r="C6" s="11">
        <f>-Revenue!C11*Assumptions!C31</f>
        <v/>
      </c>
      <c r="D6" s="11">
        <f>-Revenue!D11*Assumptions!D31</f>
        <v/>
      </c>
      <c r="E6" s="2" t="inlineStr">
        <is>
          <t>Scales with revenue.</t>
        </is>
      </c>
    </row>
    <row r="7">
      <c r="A7" s="8" t="inlineStr">
        <is>
          <t>Fixed costs (3 founders + tools)</t>
        </is>
      </c>
      <c r="B7" s="11">
        <f>-Assumptions!B29</f>
        <v/>
      </c>
      <c r="C7" s="11">
        <f>-Assumptions!C29</f>
        <v/>
      </c>
      <c r="D7" s="11">
        <f>-Assumptions!D29</f>
        <v/>
      </c>
      <c r="E7" s="2" t="inlineStr">
        <is>
          <t>From SAFRON_Budget.xlsx.</t>
        </is>
      </c>
    </row>
    <row r="8">
      <c r="A8" s="8" t="inlineStr">
        <is>
          <t>Additional staff</t>
        </is>
      </c>
      <c r="B8" s="11">
        <f>-Assumptions!B32*Assumptions!B33</f>
        <v/>
      </c>
      <c r="C8" s="11">
        <f>-Assumptions!C32*Assumptions!C33</f>
        <v/>
      </c>
      <c r="D8" s="11">
        <f>-Assumptions!D32*Assumptions!D33</f>
        <v/>
      </c>
      <c r="E8" s="2" t="inlineStr">
        <is>
          <t>Support, sales, ops as you scale.</t>
        </is>
      </c>
    </row>
    <row r="9">
      <c r="A9" s="12" t="inlineStr">
        <is>
          <t>NET PROFIT / (LOSS)</t>
        </is>
      </c>
      <c r="B9" s="13">
        <f>B4+B5+B6+B7+B8</f>
        <v/>
      </c>
      <c r="C9" s="13">
        <f>C4+C5+C6+C7+C8</f>
        <v/>
      </c>
      <c r="D9" s="13">
        <f>D4+D5+D6+D7+D8</f>
        <v/>
      </c>
      <c r="E9" s="18" t="inlineStr"/>
    </row>
    <row r="11">
      <c r="A11" s="5" t="inlineStr">
        <is>
          <t>Cumulative profit / (loss)</t>
        </is>
      </c>
      <c r="B11" s="15">
        <f>B9</f>
        <v/>
      </c>
      <c r="C11" s="15">
        <f>B10+C9</f>
        <v/>
      </c>
      <c r="D11" s="15">
        <f>C10+D9</f>
        <v/>
      </c>
      <c r="E11" s="2" t="inlineStr">
        <is>
          <t>Turning positive = you have paid back the raise.</t>
        </is>
      </c>
    </row>
    <row r="12">
      <c r="A12" s="8" t="inlineStr">
        <is>
          <t>Net margin</t>
        </is>
      </c>
      <c r="B12" s="19">
        <f>IFERROR(B9/B4,0)</f>
        <v/>
      </c>
      <c r="C12" s="19">
        <f>IFERROR(C9/C4,0)</f>
        <v/>
      </c>
      <c r="D12" s="19">
        <f>IFERROR(D9/D4,0)</f>
        <v/>
      </c>
      <c r="E12" s="2" t="inlineStr"/>
    </row>
    <row r="14">
      <c r="A14" s="3" t="inlineStr">
        <is>
          <t>INVESTOR RETURN ON $10,000</t>
        </is>
      </c>
      <c r="B14" s="20" t="n"/>
      <c r="C14" s="20" t="n"/>
      <c r="D14" s="20" t="n"/>
      <c r="E14" s="20" t="n"/>
    </row>
    <row r="15">
      <c r="A15" s="5" t="inlineStr">
        <is>
          <t>Deal structure</t>
        </is>
      </c>
      <c r="B15" s="21" t="inlineStr">
        <is>
          <t>Y1</t>
        </is>
      </c>
      <c r="C15" s="21" t="inlineStr">
        <is>
          <t>Y2</t>
        </is>
      </c>
      <c r="D15" s="21" t="inlineStr">
        <is>
          <t>Y3</t>
        </is>
      </c>
      <c r="E15" s="5" t="inlineStr">
        <is>
          <t>3-year total to investor</t>
        </is>
      </c>
    </row>
    <row r="16">
      <c r="A16" s="8" t="inlineStr">
        <is>
          <t>His offer: 50% of revenue, uncapped</t>
        </is>
      </c>
      <c r="B16" s="16">
        <f>B4*0.5</f>
        <v/>
      </c>
      <c r="C16" s="16">
        <f>C4*0.5</f>
        <v/>
      </c>
      <c r="D16" s="16">
        <f>D4*0.5</f>
        <v/>
      </c>
      <c r="E16" s="15">
        <f>SUM(B16:D16)</f>
        <v/>
      </c>
    </row>
    <row r="17">
      <c r="A17" s="8" t="inlineStr">
        <is>
          <t>Counter: 7% of revenue, capped at 2.0x</t>
        </is>
      </c>
      <c r="B17" s="16">
        <f>MIN(B4*0.07,20000)</f>
        <v/>
      </c>
      <c r="C17" s="16">
        <f>MIN(C4*0.07,20000-B17)</f>
        <v/>
      </c>
      <c r="D17" s="16">
        <f>MIN(D4*0.07,20000-B17-C17)</f>
        <v/>
      </c>
      <c r="E17" s="15">
        <f>SUM(B17:D17)</f>
        <v/>
      </c>
    </row>
    <row r="18">
      <c r="A18" s="5" t="inlineStr">
        <is>
          <t>What you keep under his offer</t>
        </is>
      </c>
      <c r="B18" s="15">
        <f>B9-B16</f>
        <v/>
      </c>
      <c r="C18" s="15">
        <f>C9-C16</f>
        <v/>
      </c>
      <c r="D18" s="15">
        <f>D9-D16</f>
        <v/>
      </c>
      <c r="E18" s="2" t="inlineStr">
        <is>
          <t>Net profit minus his 50% of revenue.</t>
        </is>
      </c>
    </row>
    <row r="19">
      <c r="A19" s="5" t="inlineStr">
        <is>
          <t>What you keep under the counter</t>
        </is>
      </c>
      <c r="B19" s="22">
        <f>B9-B17</f>
        <v/>
      </c>
      <c r="C19" s="22">
        <f>C9-C17</f>
        <v/>
      </c>
      <c r="D19" s="22">
        <f>D9-D17</f>
        <v/>
      </c>
      <c r="E19" s="2" t="inlineStr">
        <is>
          <t>The difference is what the structure is worth to you.</t>
        </is>
      </c>
    </row>
    <row r="21">
      <c r="A21" s="2" t="inlineStr">
        <is>
          <t>Sanity note: if net margin exceeds ~30% in Year 3, the model is understating what it costs to grow. Dial up Sales &amp; marketing or Additional staff until it looks like a real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2026-08-10T18:14:39Z</dcterms:created>
  <dcterms:modified xmlns:dcterms="http://purl.org/dc/terms/" xmlns:xsi="http://www.w3.org/2001/XMLSchema-instance" xsi:type="dcterms:W3CDTF">2026-08-10T18:16:08Z</dcterms:modified>
</cp:coreProperties>
</file>